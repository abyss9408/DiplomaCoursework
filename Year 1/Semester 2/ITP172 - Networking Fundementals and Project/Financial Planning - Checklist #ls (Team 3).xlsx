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AEAE9848-FC92-4101-85D2-75F6D559AEF2}" xr6:coauthVersionLast="40" xr6:coauthVersionMax="40" xr10:uidLastSave="{00000000-0000-0000-0000-000000000000}"/>
  <bookViews>
    <workbookView xWindow="0" yWindow="0" windowWidth="23040" windowHeight="9072" xr2:uid="{00000000-000D-0000-FFFF-FFFF00000000}"/>
  </bookViews>
  <sheets>
    <sheet name="LS financial checklist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D28" i="2"/>
  <c r="C28" i="2"/>
  <c r="B28" i="2"/>
  <c r="AP100" i="2" l="1"/>
  <c r="AB100" i="2"/>
  <c r="AP94" i="2"/>
  <c r="AB94" i="2"/>
  <c r="N100" i="2"/>
  <c r="N94" i="2"/>
  <c r="N102" i="2"/>
  <c r="N103" i="2" l="1"/>
  <c r="N15" i="2"/>
  <c r="N29" i="2" l="1"/>
  <c r="N46" i="2"/>
  <c r="N62" i="2"/>
  <c r="AP38" i="2"/>
  <c r="AP37" i="2"/>
  <c r="AB38" i="2"/>
  <c r="AB37" i="2"/>
  <c r="N37" i="2"/>
  <c r="AP32" i="2"/>
  <c r="AP28" i="2"/>
  <c r="AB28" i="2"/>
  <c r="AB26" i="2"/>
  <c r="AB32" i="2"/>
  <c r="N32" i="2"/>
  <c r="AP26" i="2"/>
  <c r="N28" i="2"/>
  <c r="N26" i="2"/>
  <c r="N35" i="2" l="1"/>
  <c r="B12" i="3"/>
  <c r="B11" i="3" l="1"/>
  <c r="B10" i="3"/>
  <c r="E12" i="3"/>
  <c r="C10" i="3"/>
  <c r="C8" i="3"/>
  <c r="D11" i="3"/>
  <c r="D8" i="3"/>
  <c r="B8" i="3"/>
  <c r="C11" i="3"/>
  <c r="D10" i="3"/>
  <c r="E13" i="3"/>
  <c r="C4" i="3"/>
  <c r="C3" i="3"/>
  <c r="B4" i="3"/>
  <c r="B14" i="3" l="1"/>
  <c r="B5" i="3"/>
  <c r="E3" i="3"/>
  <c r="E9" i="3"/>
  <c r="E8" i="3"/>
  <c r="E10" i="3"/>
  <c r="E11" i="3"/>
  <c r="B15" i="3" l="1"/>
  <c r="E4" i="3"/>
  <c r="C5" i="3"/>
  <c r="C14" i="3"/>
  <c r="E14" i="3"/>
  <c r="D14" i="3"/>
  <c r="D5" i="3"/>
  <c r="AB19" i="2"/>
  <c r="AB86" i="2"/>
  <c r="N84" i="2"/>
  <c r="N83" i="2"/>
  <c r="N82" i="2"/>
  <c r="N81" i="2"/>
  <c r="N78" i="2"/>
  <c r="N77" i="2"/>
  <c r="N76" i="2"/>
  <c r="N75" i="2"/>
  <c r="N74" i="2"/>
  <c r="N71" i="2"/>
  <c r="N70" i="2"/>
  <c r="N69" i="2"/>
  <c r="N68" i="2"/>
  <c r="N65" i="2"/>
  <c r="N64" i="2"/>
  <c r="N63" i="2"/>
  <c r="N61" i="2"/>
  <c r="N60" i="2"/>
  <c r="N59" i="2"/>
  <c r="N58" i="2"/>
  <c r="N55" i="2"/>
  <c r="N54" i="2"/>
  <c r="N53" i="2"/>
  <c r="N52" i="2"/>
  <c r="N51" i="2"/>
  <c r="N50" i="2"/>
  <c r="N49" i="2"/>
  <c r="N45" i="2"/>
  <c r="N44" i="2"/>
  <c r="N43" i="2"/>
  <c r="N42" i="2"/>
  <c r="N41" i="2"/>
  <c r="N40" i="2"/>
  <c r="N38" i="2"/>
  <c r="N27" i="2"/>
  <c r="N7" i="2"/>
  <c r="N10" i="2"/>
  <c r="N11" i="2"/>
  <c r="N12" i="2"/>
  <c r="N13" i="2"/>
  <c r="N14" i="2"/>
  <c r="N17" i="2"/>
  <c r="N6" i="2"/>
  <c r="D15" i="3" l="1"/>
  <c r="C15" i="3"/>
  <c r="E5" i="3"/>
  <c r="E15" i="3" s="1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AA86" i="2"/>
  <c r="Z86" i="2"/>
  <c r="Y86" i="2"/>
  <c r="X86" i="2"/>
  <c r="W86" i="2"/>
  <c r="V86" i="2"/>
  <c r="U86" i="2"/>
  <c r="T86" i="2"/>
  <c r="S86" i="2"/>
  <c r="R86" i="2"/>
  <c r="Q86" i="2"/>
  <c r="P86" i="2"/>
  <c r="AA19" i="2"/>
  <c r="Z19" i="2"/>
  <c r="Y19" i="2"/>
  <c r="X19" i="2"/>
  <c r="W19" i="2"/>
  <c r="V19" i="2"/>
  <c r="U19" i="2"/>
  <c r="T19" i="2"/>
  <c r="S19" i="2"/>
  <c r="R19" i="2"/>
  <c r="Q19" i="2"/>
  <c r="P19" i="2"/>
  <c r="C103" i="2"/>
  <c r="D103" i="2"/>
  <c r="E103" i="2"/>
  <c r="F103" i="2"/>
  <c r="G103" i="2"/>
  <c r="H103" i="2"/>
  <c r="I103" i="2"/>
  <c r="J103" i="2"/>
  <c r="K103" i="2"/>
  <c r="L103" i="2"/>
  <c r="M103" i="2"/>
  <c r="B103" i="2"/>
  <c r="C86" i="2"/>
  <c r="D86" i="2"/>
  <c r="E86" i="2"/>
  <c r="F86" i="2"/>
  <c r="G86" i="2"/>
  <c r="H86" i="2"/>
  <c r="I86" i="2"/>
  <c r="J86" i="2"/>
  <c r="K86" i="2"/>
  <c r="L86" i="2"/>
  <c r="M86" i="2"/>
  <c r="N86" i="2"/>
  <c r="B86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AB103" i="2" l="1"/>
</calcChain>
</file>

<file path=xl/sharedStrings.xml><?xml version="1.0" encoding="utf-8"?>
<sst xmlns="http://schemas.openxmlformats.org/spreadsheetml/2006/main" count="322" uniqueCount="104">
  <si>
    <t>Capital Expenses</t>
  </si>
  <si>
    <t>Operating Expenses</t>
  </si>
  <si>
    <t>Projected Profit before tax</t>
  </si>
  <si>
    <t xml:space="preserve">Year 1 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</si>
  <si>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</si>
  <si>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</si>
  <si>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</si>
  <si>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</si>
  <si>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</si>
  <si>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</si>
  <si>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</si>
  <si>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</si>
  <si>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</si>
  <si>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</si>
  <si>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</si>
  <si>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</si>
  <si>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Year1</t>
  </si>
  <si>
    <t>Staff Salary (5pax)</t>
  </si>
  <si>
    <t>Manpower Resources</t>
  </si>
  <si>
    <t>Utilities</t>
  </si>
  <si>
    <t xml:space="preserve"> - Server</t>
  </si>
  <si>
    <t xml:space="preserve"> - Printer(s)</t>
  </si>
  <si>
    <t xml:space="preserve"> - PC or laptops</t>
  </si>
  <si>
    <t>Office purchase if applicable (xx sq m)</t>
  </si>
  <si>
    <t>Office equipment purchase:</t>
  </si>
  <si>
    <t xml:space="preserve"> - Vehicle(s) if applicable</t>
  </si>
  <si>
    <t xml:space="preserve"> - Vehicle(s) rental if applicable</t>
  </si>
  <si>
    <t xml:space="preserve"> - Vehicle(s) Fuel</t>
  </si>
  <si>
    <t xml:space="preserve"> - Vehicle(s) ERP gantries</t>
  </si>
  <si>
    <t xml:space="preserve"> - Vehicle(s) carpark expenses</t>
  </si>
  <si>
    <t xml:space="preserve"> - Vehicle(s) servicing/maintenance</t>
  </si>
  <si>
    <t xml:space="preserve"> - Vehicle(s) mandatory VICOM/STA checks</t>
  </si>
  <si>
    <t xml:space="preserve"> - Recurited personnel Salary</t>
  </si>
  <si>
    <t xml:space="preserve"> - Staff Salary (5pax)</t>
  </si>
  <si>
    <t xml:space="preserve"> - Water</t>
  </si>
  <si>
    <t>Year End AWS / bonus</t>
  </si>
  <si>
    <t xml:space="preserve">Total targeted customer population </t>
  </si>
  <si>
    <t>Target percentage</t>
  </si>
  <si>
    <t>Proposed charge per user / per use</t>
  </si>
  <si>
    <t>Other revenue cuts</t>
  </si>
  <si>
    <t>Brand ambassdors incentive</t>
  </si>
  <si>
    <t xml:space="preserve"> - Website SEO /adwords fee</t>
  </si>
  <si>
    <t xml:space="preserve"> - Email marketing campaigns</t>
  </si>
  <si>
    <t xml:space="preserve"> - Pamphlets / Brochures printing</t>
  </si>
  <si>
    <t xml:space="preserve"> - Pamphlets / Brochures distribution</t>
  </si>
  <si>
    <t xml:space="preserve"> - Exhibtions / Seminars booths</t>
  </si>
  <si>
    <t xml:space="preserve"> - TV/Radio advertisments/campaigns</t>
  </si>
  <si>
    <t xml:space="preserve"> - Bloggers/Youtubers fees</t>
  </si>
  <si>
    <t>SUBTOTAL</t>
  </si>
  <si>
    <t>GRAND TOTAL</t>
  </si>
  <si>
    <t>Projected Revenue</t>
  </si>
  <si>
    <t>Advertisement / Marketing expenses</t>
  </si>
  <si>
    <t>System/Application Maintenance expenses</t>
  </si>
  <si>
    <t xml:space="preserve"> - Website update</t>
  </si>
  <si>
    <t xml:space="preserve"> - Application revision update</t>
  </si>
  <si>
    <t xml:space="preserve"> - Facebook maintenance</t>
  </si>
  <si>
    <t>Other hardwares/software expenses</t>
  </si>
  <si>
    <t xml:space="preserve"> - SSL licenses</t>
  </si>
  <si>
    <t xml:space="preserve"> - Database licenses</t>
  </si>
  <si>
    <t xml:space="preserve"> - Other subscription licenses</t>
  </si>
  <si>
    <t>TOTAL PROFIT PROJECTION</t>
  </si>
  <si>
    <t>Year2</t>
  </si>
  <si>
    <t>Warehouse purchase if applicable (xx sq m)</t>
  </si>
  <si>
    <t>Year3</t>
  </si>
  <si>
    <t>Recruited personnel Salary</t>
  </si>
  <si>
    <t>Other royalty expenses</t>
  </si>
  <si>
    <t>Partnership incentive expenses</t>
  </si>
  <si>
    <t>First Year</t>
  </si>
  <si>
    <t>Second Year</t>
  </si>
  <si>
    <t>Third Year</t>
  </si>
  <si>
    <t>Source of Revenues</t>
  </si>
  <si>
    <t>Profit/Loss</t>
  </si>
  <si>
    <t>Total</t>
  </si>
  <si>
    <t>Total Expenses</t>
  </si>
  <si>
    <t>Expenses</t>
  </si>
  <si>
    <t>Total Revenue</t>
  </si>
  <si>
    <t>Rental</t>
  </si>
  <si>
    <t>Sales</t>
  </si>
  <si>
    <t>Cost of good sold</t>
  </si>
  <si>
    <t>Staff Salary (5, 10, 20)</t>
  </si>
  <si>
    <t>Advertisement</t>
  </si>
  <si>
    <t>Hardware &amp; Software (servers)</t>
  </si>
  <si>
    <t>Office Equipment</t>
  </si>
  <si>
    <t>Infrastructure(Non-Current Asset) DR+</t>
  </si>
  <si>
    <t>Motor Vehicle purchase:(Non-Current Asset)DR+</t>
  </si>
  <si>
    <t>Misc expenses (Other Expense) DR+</t>
  </si>
  <si>
    <t>Manpower Resources(Salary Expense) DR+</t>
  </si>
  <si>
    <t>Office rental expense (xx sq m)</t>
  </si>
  <si>
    <t>Warehouse rental expense (xx sq m)</t>
  </si>
  <si>
    <t>Utilities expense DR+</t>
  </si>
  <si>
    <t xml:space="preserve"> - 24/7 usage of aircon </t>
  </si>
  <si>
    <t xml:space="preserve"> - Office stationary (Stationary Expense)</t>
  </si>
  <si>
    <t>Office supplies: (Other Expense)</t>
  </si>
  <si>
    <t xml:space="preserve"> - Staff Welfare (e.g pantry) (Other Expense)</t>
  </si>
  <si>
    <t xml:space="preserve"> - Broadband connection (Other Expense)</t>
  </si>
  <si>
    <t xml:space="preserve"> - Telephone/Fax lines (Other Expense)</t>
  </si>
  <si>
    <t xml:space="preserve"> - Mobile lines (Other Expense)</t>
  </si>
  <si>
    <t xml:space="preserve"> - Door Access cards system (Other Expense)</t>
  </si>
  <si>
    <t>Transportation Expense:</t>
  </si>
  <si>
    <t xml:space="preserve"> - Chairs</t>
  </si>
  <si>
    <t xml:space="preserve"> - Tables</t>
  </si>
  <si>
    <t xml:space="preserve"> -Employer CPF contribution (9%)</t>
  </si>
  <si>
    <t xml:space="preserve"> - Software licenses (Firewall)</t>
  </si>
  <si>
    <t xml:space="preserve"> - Projector and screen (150+50)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</si>
</sst>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;[Red]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4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6" borderId="1" xfId="0" quotePrefix="1" applyFill="1" applyBorder="1" applyAlignment="1">
      <alignment horizontal="left" vertical="top"/>
    </xf>
    <xf numFmtId="0" fontId="0" fillId="0" borderId="0" xfId="0" quotePrefix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3" borderId="1" xfId="0" quotePrefix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1" fillId="8" borderId="0" xfId="0" applyFont="1" applyFill="1" applyAlignment="1">
      <alignment horizontal="right"/>
    </xf>
    <xf numFmtId="164" fontId="0" fillId="0" borderId="0" xfId="0" applyNumberFormat="1"/>
    <xf numFmtId="44" fontId="0" fillId="0" borderId="0" xfId="0" applyNumberFormat="1"/>
    <xf numFmtId="44" fontId="1" fillId="8" borderId="0" xfId="0" applyNumberFormat="1" applyFont="1" applyFill="1"/>
    <xf numFmtId="164" fontId="1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topLeftCell="A13" zoomScale="80" zoomScaleNormal="80" workbookViewId="0">
      <selection activeCell="M27" sqref="M27"/>
    </sheetView>
  </sheetViews>
  <sheetFormatPr defaultColWidth="9.109375" defaultRowHeight="14.4" x14ac:dyDescent="0.3"/>
  <cols>
    <col min="1" max="1" width="40.33203125" style="2" bestFit="1" customWidth="1"/>
    <col min="2" max="10" width="7.88671875" style="2" bestFit="1" customWidth="1"/>
    <col min="11" max="13" width="8.88671875" style="2" bestFit="1" customWidth="1"/>
    <col min="14" max="14" width="8.21875" style="30" customWidth="1"/>
    <col min="15" max="15" width="9.109375" style="2"/>
    <col min="16" max="24" width="7.88671875" style="2" bestFit="1" customWidth="1"/>
    <col min="25" max="27" width="8.88671875" style="2" bestFit="1" customWidth="1"/>
    <col min="28" max="28" width="7.77734375" style="30" bestFit="1" customWidth="1"/>
    <col min="29" max="29" width="9.109375" style="2"/>
    <col min="30" max="38" width="7.88671875" style="2" bestFit="1" customWidth="1"/>
    <col min="39" max="41" width="8.88671875" style="2" bestFit="1" customWidth="1"/>
    <col min="42" max="42" width="7" style="30" bestFit="1" customWidth="1"/>
    <col min="43" max="16384" width="9.109375" style="2"/>
  </cols>
  <sheetData>
    <row r="1" spans="1:42" x14ac:dyDescent="0.3">
      <c r="A1" s="1"/>
      <c r="B1" s="1" t="s">
        <v>16</v>
      </c>
      <c r="C1" s="1" t="s">
        <v>16</v>
      </c>
      <c r="D1" s="1" t="s">
        <v>16</v>
      </c>
      <c r="E1" s="1" t="s">
        <v>16</v>
      </c>
      <c r="F1" s="1" t="s">
        <v>16</v>
      </c>
      <c r="G1" s="1" t="s">
        <v>16</v>
      </c>
      <c r="H1" s="1" t="s">
        <v>16</v>
      </c>
      <c r="I1" s="1" t="s">
        <v>16</v>
      </c>
      <c r="J1" s="1" t="s">
        <v>16</v>
      </c>
      <c r="K1" s="1" t="s">
        <v>16</v>
      </c>
      <c r="L1" s="1" t="s">
        <v>16</v>
      </c>
      <c r="M1" s="1" t="s">
        <v>16</v>
      </c>
      <c r="N1" s="22" t="s">
        <v>16</v>
      </c>
      <c r="P1" s="1" t="s">
        <v>61</v>
      </c>
      <c r="Q1" s="1" t="s">
        <v>61</v>
      </c>
      <c r="R1" s="1" t="s">
        <v>61</v>
      </c>
      <c r="S1" s="1" t="s">
        <v>61</v>
      </c>
      <c r="T1" s="1" t="s">
        <v>61</v>
      </c>
      <c r="U1" s="1" t="s">
        <v>61</v>
      </c>
      <c r="V1" s="1" t="s">
        <v>61</v>
      </c>
      <c r="W1" s="1" t="s">
        <v>61</v>
      </c>
      <c r="X1" s="1" t="s">
        <v>61</v>
      </c>
      <c r="Y1" s="1" t="s">
        <v>61</v>
      </c>
      <c r="Z1" s="1" t="s">
        <v>61</v>
      </c>
      <c r="AA1" s="1" t="s">
        <v>61</v>
      </c>
      <c r="AB1" s="22" t="s">
        <v>61</v>
      </c>
      <c r="AD1" s="1" t="s">
        <v>63</v>
      </c>
      <c r="AE1" s="1" t="s">
        <v>63</v>
      </c>
      <c r="AF1" s="1" t="s">
        <v>63</v>
      </c>
      <c r="AG1" s="1" t="s">
        <v>63</v>
      </c>
      <c r="AH1" s="1" t="s">
        <v>63</v>
      </c>
      <c r="AI1" s="1" t="s">
        <v>63</v>
      </c>
      <c r="AJ1" s="1" t="s">
        <v>63</v>
      </c>
      <c r="AK1" s="1" t="s">
        <v>63</v>
      </c>
      <c r="AL1" s="1" t="s">
        <v>63</v>
      </c>
      <c r="AM1" s="1" t="s">
        <v>63</v>
      </c>
      <c r="AN1" s="1" t="s">
        <v>63</v>
      </c>
      <c r="AO1" s="1" t="s">
        <v>63</v>
      </c>
      <c r="AP1" s="22" t="s">
        <v>63</v>
      </c>
    </row>
    <row r="2" spans="1:42" x14ac:dyDescent="0.3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22">
        <v>2018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22">
        <v>2018</v>
      </c>
      <c r="AD2" s="1" t="s">
        <v>4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22">
        <v>2018</v>
      </c>
    </row>
    <row r="3" spans="1:4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2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2"/>
    </row>
    <row r="4" spans="1:42" x14ac:dyDescent="0.3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22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"/>
      <c r="AB4" s="22"/>
      <c r="AD4" s="3"/>
      <c r="AE4" s="3"/>
      <c r="AF4" s="3"/>
      <c r="AG4" s="3"/>
      <c r="AH4" s="3"/>
      <c r="AI4" s="3"/>
      <c r="AJ4" s="3"/>
      <c r="AK4" s="3"/>
      <c r="AL4" s="3"/>
      <c r="AM4" s="3"/>
      <c r="AN4" s="1"/>
      <c r="AO4" s="1"/>
      <c r="AP4" s="22"/>
    </row>
    <row r="5" spans="1:42" x14ac:dyDescent="0.3">
      <c r="A5" s="3" t="s">
        <v>83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22"/>
    </row>
    <row r="6" spans="1:42" x14ac:dyDescent="0.3">
      <c r="A6" s="1" t="s">
        <v>23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2">
        <f>SUM(B6:M6)</f>
        <v>0</v>
      </c>
      <c r="P6" s="1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22"/>
    </row>
    <row r="7" spans="1:42" x14ac:dyDescent="0.3">
      <c r="A7" s="1" t="s">
        <v>62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2">
        <f t="shared" ref="N7:N17" si="0">SUM(B7:M7)</f>
        <v>0</v>
      </c>
      <c r="P7" s="1"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22"/>
    </row>
    <row r="8" spans="1:4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22"/>
    </row>
    <row r="9" spans="1:42" x14ac:dyDescent="0.3">
      <c r="A9" s="4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22"/>
    </row>
    <row r="10" spans="1:42" x14ac:dyDescent="0.3">
      <c r="A10" s="32" t="s">
        <v>22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2">
        <f t="shared" si="0"/>
        <v>0</v>
      </c>
      <c r="P10" s="1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22"/>
    </row>
    <row r="11" spans="1:42" x14ac:dyDescent="0.3">
      <c r="A11" s="32" t="s">
        <v>20</v>
      </c>
      <c r="B11" s="1">
        <v>100000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2">
        <f t="shared" si="0"/>
        <v>100000</v>
      </c>
      <c r="P11" s="1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2"/>
    </row>
    <row r="12" spans="1:42" x14ac:dyDescent="0.3">
      <c r="A12" s="32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2">
        <f t="shared" si="0"/>
        <v>0</v>
      </c>
      <c r="P12" s="1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22"/>
    </row>
    <row r="13" spans="1:42" x14ac:dyDescent="0.3">
      <c r="A13" s="5" t="s">
        <v>99</v>
      </c>
      <c r="B13" s="1">
        <v>1836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2">
        <f t="shared" si="0"/>
        <v>1836</v>
      </c>
      <c r="P13" s="1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22"/>
    </row>
    <row r="14" spans="1:42" x14ac:dyDescent="0.3">
      <c r="A14" s="5" t="s">
        <v>100</v>
      </c>
      <c r="B14" s="1">
        <v>398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2">
        <f t="shared" si="0"/>
        <v>398</v>
      </c>
      <c r="P14" s="1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22"/>
    </row>
    <row r="15" spans="1:42" x14ac:dyDescent="0.3">
      <c r="A15" s="5" t="s">
        <v>103</v>
      </c>
      <c r="B15" s="1">
        <v>200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2">
        <f t="shared" si="0"/>
        <v>200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22"/>
    </row>
    <row r="16" spans="1:42" x14ac:dyDescent="0.3">
      <c r="A16" s="4" t="s">
        <v>84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22"/>
    </row>
    <row r="17" spans="1:42" x14ac:dyDescent="0.3">
      <c r="A17" s="5" t="s">
        <v>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2">
        <f t="shared" si="0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22"/>
    </row>
    <row r="18" spans="1:42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22"/>
    </row>
    <row r="19" spans="1:42" x14ac:dyDescent="0.3">
      <c r="A19" s="6" t="s">
        <v>49</v>
      </c>
      <c r="B19" s="1">
        <f t="shared" ref="B19:M19" si="1">SUM(B4:B18)</f>
        <v>102434</v>
      </c>
      <c r="C19" s="1">
        <f t="shared" si="1"/>
        <v>0</v>
      </c>
      <c r="D19" s="1">
        <f t="shared" si="1"/>
        <v>0</v>
      </c>
      <c r="E19" s="1">
        <f t="shared" si="1"/>
        <v>0</v>
      </c>
      <c r="F19" s="1">
        <f t="shared" si="1"/>
        <v>0</v>
      </c>
      <c r="G19" s="1">
        <f t="shared" si="1"/>
        <v>0</v>
      </c>
      <c r="H19" s="1">
        <f t="shared" si="1"/>
        <v>0</v>
      </c>
      <c r="I19" s="1">
        <f t="shared" si="1"/>
        <v>0</v>
      </c>
      <c r="J19" s="1">
        <f t="shared" si="1"/>
        <v>0</v>
      </c>
      <c r="K19" s="1">
        <f t="shared" si="1"/>
        <v>0</v>
      </c>
      <c r="L19" s="1">
        <f t="shared" si="1"/>
        <v>0</v>
      </c>
      <c r="M19" s="1">
        <f t="shared" si="1"/>
        <v>0</v>
      </c>
      <c r="N19" s="23">
        <f>SUM(N4:N18)</f>
        <v>102434</v>
      </c>
      <c r="P19" s="1">
        <f t="shared" ref="P19" si="2">SUM(P4:P18)</f>
        <v>0</v>
      </c>
      <c r="Q19" s="1">
        <f t="shared" ref="Q19" si="3">SUM(Q4:Q18)</f>
        <v>0</v>
      </c>
      <c r="R19" s="1">
        <f t="shared" ref="R19" si="4">SUM(R4:R18)</f>
        <v>0</v>
      </c>
      <c r="S19" s="1">
        <f t="shared" ref="S19" si="5">SUM(S4:S18)</f>
        <v>0</v>
      </c>
      <c r="T19" s="1">
        <f t="shared" ref="T19" si="6">SUM(T4:T18)</f>
        <v>0</v>
      </c>
      <c r="U19" s="1">
        <f t="shared" ref="U19" si="7">SUM(U4:U18)</f>
        <v>0</v>
      </c>
      <c r="V19" s="1">
        <f t="shared" ref="V19" si="8">SUM(V4:V18)</f>
        <v>0</v>
      </c>
      <c r="W19" s="1">
        <f t="shared" ref="W19" si="9">SUM(W4:W18)</f>
        <v>0</v>
      </c>
      <c r="X19" s="1">
        <f t="shared" ref="X19" si="10">SUM(X4:X18)</f>
        <v>0</v>
      </c>
      <c r="Y19" s="1">
        <f t="shared" ref="Y19" si="11">SUM(Y4:Y18)</f>
        <v>0</v>
      </c>
      <c r="Z19" s="1">
        <f t="shared" ref="Z19" si="12">SUM(Z4:Z18)</f>
        <v>0</v>
      </c>
      <c r="AA19" s="1">
        <f t="shared" ref="AA19" si="13">SUM(AA4:AA18)</f>
        <v>0</v>
      </c>
      <c r="AB19" s="23">
        <f>SUM(AB4:AB18)</f>
        <v>0</v>
      </c>
      <c r="AD19" s="1">
        <f t="shared" ref="AD19" si="14">SUM(AD4:AD18)</f>
        <v>0</v>
      </c>
      <c r="AE19" s="1">
        <f t="shared" ref="AE19" si="15">SUM(AE4:AE18)</f>
        <v>0</v>
      </c>
      <c r="AF19" s="1">
        <f t="shared" ref="AF19" si="16">SUM(AF4:AF18)</f>
        <v>0</v>
      </c>
      <c r="AG19" s="1">
        <f t="shared" ref="AG19" si="17">SUM(AG4:AG18)</f>
        <v>0</v>
      </c>
      <c r="AH19" s="1">
        <f t="shared" ref="AH19" si="18">SUM(AH4:AH18)</f>
        <v>0</v>
      </c>
      <c r="AI19" s="1">
        <f t="shared" ref="AI19" si="19">SUM(AI4:AI18)</f>
        <v>0</v>
      </c>
      <c r="AJ19" s="1">
        <f t="shared" ref="AJ19" si="20">SUM(AJ4:AJ18)</f>
        <v>0</v>
      </c>
      <c r="AK19" s="1">
        <f t="shared" ref="AK19" si="21">SUM(AK4:AK18)</f>
        <v>0</v>
      </c>
      <c r="AL19" s="1">
        <f t="shared" ref="AL19" si="22">SUM(AL4:AL18)</f>
        <v>0</v>
      </c>
      <c r="AM19" s="1">
        <f t="shared" ref="AM19" si="23">SUM(AM4:AM18)</f>
        <v>0</v>
      </c>
      <c r="AN19" s="1">
        <f t="shared" ref="AN19" si="24">SUM(AN4:AN18)</f>
        <v>0</v>
      </c>
      <c r="AO19" s="1">
        <f t="shared" ref="AO19" si="25">SUM(AO4:AO18)</f>
        <v>0</v>
      </c>
      <c r="AP19" s="23">
        <f>SUM(AP4:AP18)</f>
        <v>0</v>
      </c>
    </row>
    <row r="20" spans="1:42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24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24"/>
    </row>
    <row r="21" spans="1:42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24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24"/>
    </row>
    <row r="22" spans="1:42" x14ac:dyDescent="0.3">
      <c r="A22" s="9"/>
      <c r="B22" s="9" t="s">
        <v>3</v>
      </c>
      <c r="C22" s="9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 t="s">
        <v>3</v>
      </c>
      <c r="K22" s="9" t="s">
        <v>3</v>
      </c>
      <c r="L22" s="9" t="s">
        <v>3</v>
      </c>
      <c r="M22" s="9" t="s">
        <v>3</v>
      </c>
      <c r="N22" s="25" t="s">
        <v>16</v>
      </c>
      <c r="P22" s="9" t="s">
        <v>3</v>
      </c>
      <c r="Q22" s="9" t="s">
        <v>3</v>
      </c>
      <c r="R22" s="9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  <c r="Z22" s="9" t="s">
        <v>3</v>
      </c>
      <c r="AA22" s="9" t="s">
        <v>3</v>
      </c>
      <c r="AB22" s="25" t="s">
        <v>61</v>
      </c>
      <c r="AD22" s="9" t="s">
        <v>3</v>
      </c>
      <c r="AE22" s="9" t="s">
        <v>3</v>
      </c>
      <c r="AF22" s="9" t="s">
        <v>3</v>
      </c>
      <c r="AG22" s="9" t="s">
        <v>3</v>
      </c>
      <c r="AH22" s="9" t="s">
        <v>3</v>
      </c>
      <c r="AI22" s="9" t="s">
        <v>3</v>
      </c>
      <c r="AJ22" s="9" t="s">
        <v>3</v>
      </c>
      <c r="AK22" s="9" t="s">
        <v>3</v>
      </c>
      <c r="AL22" s="9" t="s">
        <v>3</v>
      </c>
      <c r="AM22" s="9" t="s">
        <v>3</v>
      </c>
      <c r="AN22" s="9" t="s">
        <v>3</v>
      </c>
      <c r="AO22" s="9" t="s">
        <v>3</v>
      </c>
      <c r="AP22" s="25" t="s">
        <v>63</v>
      </c>
    </row>
    <row r="23" spans="1:42" x14ac:dyDescent="0.3">
      <c r="A23" s="9"/>
      <c r="B23" s="9" t="s">
        <v>4</v>
      </c>
      <c r="C23" s="9" t="s">
        <v>5</v>
      </c>
      <c r="D23" s="9" t="s">
        <v>6</v>
      </c>
      <c r="E23" s="9" t="s">
        <v>7</v>
      </c>
      <c r="F23" s="9" t="s">
        <v>8</v>
      </c>
      <c r="G23" s="9" t="s">
        <v>9</v>
      </c>
      <c r="H23" s="9" t="s">
        <v>10</v>
      </c>
      <c r="I23" s="9" t="s">
        <v>11</v>
      </c>
      <c r="J23" s="9" t="s">
        <v>12</v>
      </c>
      <c r="K23" s="9" t="s">
        <v>13</v>
      </c>
      <c r="L23" s="9" t="s">
        <v>14</v>
      </c>
      <c r="M23" s="9" t="s">
        <v>15</v>
      </c>
      <c r="N23" s="25">
        <v>2018</v>
      </c>
      <c r="P23" s="9" t="s">
        <v>4</v>
      </c>
      <c r="Q23" s="9" t="s">
        <v>5</v>
      </c>
      <c r="R23" s="9" t="s">
        <v>6</v>
      </c>
      <c r="S23" s="9" t="s">
        <v>7</v>
      </c>
      <c r="T23" s="9" t="s">
        <v>8</v>
      </c>
      <c r="U23" s="9" t="s">
        <v>9</v>
      </c>
      <c r="V23" s="9" t="s">
        <v>10</v>
      </c>
      <c r="W23" s="9" t="s">
        <v>11</v>
      </c>
      <c r="X23" s="9" t="s">
        <v>12</v>
      </c>
      <c r="Y23" s="9" t="s">
        <v>13</v>
      </c>
      <c r="Z23" s="9" t="s">
        <v>14</v>
      </c>
      <c r="AA23" s="9" t="s">
        <v>15</v>
      </c>
      <c r="AB23" s="25">
        <v>2018</v>
      </c>
      <c r="AD23" s="9" t="s">
        <v>4</v>
      </c>
      <c r="AE23" s="9" t="s">
        <v>5</v>
      </c>
      <c r="AF23" s="9" t="s">
        <v>6</v>
      </c>
      <c r="AG23" s="9" t="s">
        <v>7</v>
      </c>
      <c r="AH23" s="9" t="s">
        <v>8</v>
      </c>
      <c r="AI23" s="9" t="s">
        <v>9</v>
      </c>
      <c r="AJ23" s="9" t="s">
        <v>10</v>
      </c>
      <c r="AK23" s="9" t="s">
        <v>11</v>
      </c>
      <c r="AL23" s="9" t="s">
        <v>12</v>
      </c>
      <c r="AM23" s="9" t="s">
        <v>13</v>
      </c>
      <c r="AN23" s="9" t="s">
        <v>14</v>
      </c>
      <c r="AO23" s="9" t="s">
        <v>15</v>
      </c>
      <c r="AP23" s="25">
        <v>2018</v>
      </c>
    </row>
    <row r="24" spans="1:42" x14ac:dyDescent="0.3">
      <c r="A24" s="10" t="s">
        <v>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9"/>
      <c r="M24" s="9"/>
      <c r="N24" s="25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9"/>
      <c r="AA24" s="9"/>
      <c r="AB24" s="25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9"/>
      <c r="AO24" s="9"/>
      <c r="AP24" s="25"/>
    </row>
    <row r="25" spans="1:42" x14ac:dyDescent="0.3">
      <c r="A25" s="11" t="s">
        <v>86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9"/>
      <c r="M25" s="9"/>
      <c r="N25" s="2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9"/>
      <c r="AA25" s="9"/>
      <c r="AB25" s="25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9"/>
      <c r="AO25" s="9"/>
      <c r="AP25" s="25"/>
    </row>
    <row r="26" spans="1:42" x14ac:dyDescent="0.3">
      <c r="A26" s="32" t="s">
        <v>33</v>
      </c>
      <c r="B26" s="9">
        <v>25000</v>
      </c>
      <c r="C26" s="9">
        <v>25000</v>
      </c>
      <c r="D26" s="9">
        <v>25000</v>
      </c>
      <c r="E26" s="9">
        <v>25000</v>
      </c>
      <c r="F26" s="9">
        <v>25000</v>
      </c>
      <c r="G26" s="9">
        <v>25000</v>
      </c>
      <c r="H26" s="9">
        <v>25000</v>
      </c>
      <c r="I26" s="9">
        <v>25000</v>
      </c>
      <c r="J26" s="9">
        <v>25000</v>
      </c>
      <c r="K26" s="9">
        <v>25000</v>
      </c>
      <c r="L26" s="9">
        <v>25000</v>
      </c>
      <c r="M26" s="9">
        <v>25000</v>
      </c>
      <c r="N26" s="22">
        <f>SUM(B26:M26)</f>
        <v>300000</v>
      </c>
      <c r="P26" s="9">
        <v>25000</v>
      </c>
      <c r="Q26" s="9">
        <v>25000</v>
      </c>
      <c r="R26" s="9">
        <v>25000</v>
      </c>
      <c r="S26" s="9">
        <v>25000</v>
      </c>
      <c r="T26" s="9">
        <v>25000</v>
      </c>
      <c r="U26" s="9">
        <v>25000</v>
      </c>
      <c r="V26" s="9">
        <v>25000</v>
      </c>
      <c r="W26" s="9">
        <v>25000</v>
      </c>
      <c r="X26" s="9">
        <v>25000</v>
      </c>
      <c r="Y26" s="9">
        <v>25000</v>
      </c>
      <c r="Z26" s="9">
        <v>25000</v>
      </c>
      <c r="AA26" s="9">
        <v>25000</v>
      </c>
      <c r="AB26" s="25">
        <f>SUM(P26:AA26)</f>
        <v>300000</v>
      </c>
      <c r="AD26" s="9">
        <v>25000</v>
      </c>
      <c r="AE26" s="9">
        <v>25000</v>
      </c>
      <c r="AF26" s="9">
        <v>25000</v>
      </c>
      <c r="AG26" s="9">
        <v>25000</v>
      </c>
      <c r="AH26" s="9">
        <v>25000</v>
      </c>
      <c r="AI26" s="9">
        <v>25000</v>
      </c>
      <c r="AJ26" s="9">
        <v>25000</v>
      </c>
      <c r="AK26" s="9">
        <v>25000</v>
      </c>
      <c r="AL26" s="9">
        <v>25000</v>
      </c>
      <c r="AM26" s="9">
        <v>25000</v>
      </c>
      <c r="AN26" s="9">
        <v>25000</v>
      </c>
      <c r="AO26" s="9">
        <v>25000</v>
      </c>
      <c r="AP26" s="25">
        <f>SUM(AD26:AO26)</f>
        <v>300000</v>
      </c>
    </row>
    <row r="27" spans="1:42" x14ac:dyDescent="0.3">
      <c r="A27" s="12" t="s">
        <v>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22">
        <f>SUM(B27:M27)</f>
        <v>0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25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25"/>
    </row>
    <row r="28" spans="1:42" x14ac:dyDescent="0.3">
      <c r="A28" s="12" t="s">
        <v>101</v>
      </c>
      <c r="B28" s="9">
        <f>25000*0.09</f>
        <v>2250</v>
      </c>
      <c r="C28" s="9">
        <f>25000*0.09</f>
        <v>2250</v>
      </c>
      <c r="D28" s="9">
        <f>25000*0.09</f>
        <v>2250</v>
      </c>
      <c r="E28" s="9">
        <f>25000*0.09</f>
        <v>2250</v>
      </c>
      <c r="F28" s="9">
        <f>25000*0.09</f>
        <v>2250</v>
      </c>
      <c r="G28" s="9">
        <f>25000*0.09</f>
        <v>2250</v>
      </c>
      <c r="H28" s="9">
        <f>25000*0.09</f>
        <v>2250</v>
      </c>
      <c r="I28" s="9">
        <f>25000*0.09</f>
        <v>2250</v>
      </c>
      <c r="J28" s="9">
        <f>25000*0.09</f>
        <v>2250</v>
      </c>
      <c r="K28" s="9">
        <f>25000*0.09</f>
        <v>2250</v>
      </c>
      <c r="L28" s="9">
        <f>25000*0.09</f>
        <v>2250</v>
      </c>
      <c r="M28" s="9">
        <f>25000*0.09</f>
        <v>2250</v>
      </c>
      <c r="N28" s="22">
        <f>SUM(B28:M28)</f>
        <v>27000</v>
      </c>
      <c r="P28" s="9">
        <v>2250</v>
      </c>
      <c r="Q28" s="9">
        <v>2250</v>
      </c>
      <c r="R28" s="9">
        <v>2250</v>
      </c>
      <c r="S28" s="9">
        <v>2250</v>
      </c>
      <c r="T28" s="9">
        <v>2250</v>
      </c>
      <c r="U28" s="9">
        <v>2250</v>
      </c>
      <c r="V28" s="9">
        <v>2250</v>
      </c>
      <c r="W28" s="9">
        <v>2250</v>
      </c>
      <c r="X28" s="9">
        <v>2250</v>
      </c>
      <c r="Y28" s="9">
        <v>2250</v>
      </c>
      <c r="Z28" s="9">
        <v>2250</v>
      </c>
      <c r="AA28" s="9">
        <v>2250</v>
      </c>
      <c r="AB28" s="25">
        <f>SUM(P28:AA28)</f>
        <v>27000</v>
      </c>
      <c r="AD28" s="9">
        <v>2250</v>
      </c>
      <c r="AE28" s="9">
        <v>2250</v>
      </c>
      <c r="AF28" s="9">
        <v>2250</v>
      </c>
      <c r="AG28" s="9">
        <v>2250</v>
      </c>
      <c r="AH28" s="9">
        <v>2250</v>
      </c>
      <c r="AI28" s="9">
        <v>2250</v>
      </c>
      <c r="AJ28" s="9">
        <v>2250</v>
      </c>
      <c r="AK28" s="9">
        <v>2250</v>
      </c>
      <c r="AL28" s="9">
        <v>2250</v>
      </c>
      <c r="AM28" s="9">
        <v>2250</v>
      </c>
      <c r="AN28" s="9">
        <v>2250</v>
      </c>
      <c r="AO28" s="9">
        <v>2250</v>
      </c>
      <c r="AP28" s="25">
        <f>SUM(AD28:AO28)</f>
        <v>27000</v>
      </c>
    </row>
    <row r="29" spans="1:42" x14ac:dyDescent="0.3">
      <c r="A29" s="9" t="s">
        <v>48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22">
        <f>SUM(B26:M29)</f>
        <v>327000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25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25"/>
    </row>
    <row r="30" spans="1:42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25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25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25"/>
    </row>
    <row r="31" spans="1:42" x14ac:dyDescent="0.3">
      <c r="A31" s="10" t="s">
        <v>85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25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25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25"/>
    </row>
    <row r="32" spans="1:42" x14ac:dyDescent="0.3">
      <c r="A32" s="11" t="s">
        <v>87</v>
      </c>
      <c r="B32" s="9">
        <v>15000</v>
      </c>
      <c r="C32" s="9">
        <v>15000</v>
      </c>
      <c r="D32" s="9">
        <v>15000</v>
      </c>
      <c r="E32" s="9">
        <v>15000</v>
      </c>
      <c r="F32" s="9">
        <v>15000</v>
      </c>
      <c r="G32" s="9">
        <v>15000</v>
      </c>
      <c r="H32" s="9">
        <v>15000</v>
      </c>
      <c r="I32" s="9">
        <v>15000</v>
      </c>
      <c r="J32" s="9">
        <v>15000</v>
      </c>
      <c r="K32" s="9">
        <v>15000</v>
      </c>
      <c r="L32" s="9">
        <v>15000</v>
      </c>
      <c r="M32" s="9">
        <v>15000</v>
      </c>
      <c r="N32" s="22">
        <f>SUM(B32:M32)</f>
        <v>180000</v>
      </c>
      <c r="P32" s="9">
        <v>15000</v>
      </c>
      <c r="Q32" s="9">
        <v>15000</v>
      </c>
      <c r="R32" s="9">
        <v>15000</v>
      </c>
      <c r="S32" s="9">
        <v>15000</v>
      </c>
      <c r="T32" s="9">
        <v>15000</v>
      </c>
      <c r="U32" s="9">
        <v>15000</v>
      </c>
      <c r="V32" s="9">
        <v>15000</v>
      </c>
      <c r="W32" s="9">
        <v>15000</v>
      </c>
      <c r="X32" s="9">
        <v>15000</v>
      </c>
      <c r="Y32" s="9">
        <v>15000</v>
      </c>
      <c r="Z32" s="9">
        <v>15000</v>
      </c>
      <c r="AA32" s="9">
        <v>15000</v>
      </c>
      <c r="AB32" s="25">
        <f>SUM(P32:AA32)</f>
        <v>180000</v>
      </c>
      <c r="AD32" s="9">
        <v>15000</v>
      </c>
      <c r="AE32" s="9">
        <v>15000</v>
      </c>
      <c r="AF32" s="9">
        <v>15000</v>
      </c>
      <c r="AG32" s="9">
        <v>15000</v>
      </c>
      <c r="AH32" s="9">
        <v>15000</v>
      </c>
      <c r="AI32" s="9">
        <v>15000</v>
      </c>
      <c r="AJ32" s="9">
        <v>15000</v>
      </c>
      <c r="AK32" s="9">
        <v>15000</v>
      </c>
      <c r="AL32" s="9">
        <v>15000</v>
      </c>
      <c r="AM32" s="9">
        <v>15000</v>
      </c>
      <c r="AN32" s="9">
        <v>15000</v>
      </c>
      <c r="AO32" s="9">
        <v>15000</v>
      </c>
      <c r="AP32" s="25">
        <f>SUM(AD32:AO32)</f>
        <v>180000</v>
      </c>
    </row>
    <row r="33" spans="1:42" x14ac:dyDescent="0.3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25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25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25"/>
    </row>
    <row r="34" spans="1:42" x14ac:dyDescent="0.3">
      <c r="A34" s="11" t="s">
        <v>88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25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25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25"/>
    </row>
    <row r="35" spans="1:42" x14ac:dyDescent="0.3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22">
        <f>SUM(B35:M35)</f>
        <v>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25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25"/>
    </row>
    <row r="36" spans="1:42" x14ac:dyDescent="0.3">
      <c r="A36" s="31" t="s">
        <v>89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25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25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25"/>
    </row>
    <row r="37" spans="1:42" x14ac:dyDescent="0.3">
      <c r="A37" s="12" t="s">
        <v>90</v>
      </c>
      <c r="B37" s="9">
        <v>500</v>
      </c>
      <c r="C37" s="9">
        <v>500</v>
      </c>
      <c r="D37" s="9">
        <v>500</v>
      </c>
      <c r="E37" s="9">
        <v>500</v>
      </c>
      <c r="F37" s="9">
        <v>500</v>
      </c>
      <c r="G37" s="9">
        <v>500</v>
      </c>
      <c r="H37" s="9">
        <v>500</v>
      </c>
      <c r="I37" s="9">
        <v>500</v>
      </c>
      <c r="J37" s="9">
        <v>500</v>
      </c>
      <c r="K37" s="9">
        <v>500</v>
      </c>
      <c r="L37" s="9">
        <v>500</v>
      </c>
      <c r="M37" s="9">
        <v>500</v>
      </c>
      <c r="N37" s="22">
        <f>SUM(B37:M37)</f>
        <v>6000</v>
      </c>
      <c r="P37" s="9">
        <v>500</v>
      </c>
      <c r="Q37" s="9">
        <v>500</v>
      </c>
      <c r="R37" s="9">
        <v>500</v>
      </c>
      <c r="S37" s="9">
        <v>500</v>
      </c>
      <c r="T37" s="9">
        <v>500</v>
      </c>
      <c r="U37" s="9">
        <v>500</v>
      </c>
      <c r="V37" s="9">
        <v>500</v>
      </c>
      <c r="W37" s="9">
        <v>500</v>
      </c>
      <c r="X37" s="9">
        <v>500</v>
      </c>
      <c r="Y37" s="9">
        <v>500</v>
      </c>
      <c r="Z37" s="9">
        <v>500</v>
      </c>
      <c r="AA37" s="9">
        <v>500</v>
      </c>
      <c r="AB37" s="25">
        <f>SUM(P37:AA37)</f>
        <v>6000</v>
      </c>
      <c r="AD37" s="9">
        <v>500</v>
      </c>
      <c r="AE37" s="9">
        <v>500</v>
      </c>
      <c r="AF37" s="9">
        <v>500</v>
      </c>
      <c r="AG37" s="9">
        <v>500</v>
      </c>
      <c r="AH37" s="9">
        <v>500</v>
      </c>
      <c r="AI37" s="9">
        <v>500</v>
      </c>
      <c r="AJ37" s="9">
        <v>500</v>
      </c>
      <c r="AK37" s="9">
        <v>500</v>
      </c>
      <c r="AL37" s="9">
        <v>500</v>
      </c>
      <c r="AM37" s="9">
        <v>500</v>
      </c>
      <c r="AN37" s="9">
        <v>500</v>
      </c>
      <c r="AO37" s="9">
        <v>500</v>
      </c>
      <c r="AP37" s="25">
        <f>SUM(AD37:AO37)</f>
        <v>6000</v>
      </c>
    </row>
    <row r="38" spans="1:42" x14ac:dyDescent="0.3">
      <c r="A38" s="12" t="s">
        <v>34</v>
      </c>
      <c r="B38" s="9">
        <v>500</v>
      </c>
      <c r="C38" s="9">
        <v>400</v>
      </c>
      <c r="D38" s="9">
        <v>500</v>
      </c>
      <c r="E38" s="9">
        <v>450</v>
      </c>
      <c r="F38" s="9">
        <v>470</v>
      </c>
      <c r="G38" s="9">
        <v>430</v>
      </c>
      <c r="H38" s="9">
        <v>488</v>
      </c>
      <c r="I38" s="9">
        <v>453</v>
      </c>
      <c r="J38" s="9">
        <v>437</v>
      </c>
      <c r="K38" s="9">
        <v>484</v>
      </c>
      <c r="L38" s="9">
        <v>496</v>
      </c>
      <c r="M38" s="9">
        <v>444</v>
      </c>
      <c r="N38" s="22">
        <f>SUM(B38:M38)</f>
        <v>5552</v>
      </c>
      <c r="P38" s="9">
        <v>500</v>
      </c>
      <c r="Q38" s="9">
        <v>444</v>
      </c>
      <c r="R38" s="9">
        <v>496</v>
      </c>
      <c r="S38" s="9">
        <v>477</v>
      </c>
      <c r="T38" s="9">
        <v>436</v>
      </c>
      <c r="U38" s="9">
        <v>459</v>
      </c>
      <c r="V38" s="9">
        <v>505</v>
      </c>
      <c r="W38" s="9">
        <v>496</v>
      </c>
      <c r="X38" s="9">
        <v>445</v>
      </c>
      <c r="Y38" s="9">
        <v>488</v>
      </c>
      <c r="Z38" s="9">
        <v>412</v>
      </c>
      <c r="AA38" s="9">
        <v>400</v>
      </c>
      <c r="AB38" s="25">
        <f>SUM(P38:AA38)</f>
        <v>5558</v>
      </c>
      <c r="AD38" s="9">
        <v>456</v>
      </c>
      <c r="AE38" s="9">
        <v>489</v>
      </c>
      <c r="AF38" s="9">
        <v>477</v>
      </c>
      <c r="AG38" s="9">
        <v>452</v>
      </c>
      <c r="AH38" s="9">
        <v>458</v>
      </c>
      <c r="AI38" s="9">
        <v>474</v>
      </c>
      <c r="AJ38" s="9">
        <v>431</v>
      </c>
      <c r="AK38" s="9">
        <v>450</v>
      </c>
      <c r="AL38" s="9">
        <v>510</v>
      </c>
      <c r="AM38" s="9">
        <v>488</v>
      </c>
      <c r="AN38" s="9">
        <v>490</v>
      </c>
      <c r="AO38" s="9">
        <v>447</v>
      </c>
      <c r="AP38" s="25">
        <f>SUM(AD38:AO38)</f>
        <v>5622</v>
      </c>
    </row>
    <row r="39" spans="1:42" x14ac:dyDescent="0.3">
      <c r="A39" s="11" t="s">
        <v>92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25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25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25"/>
    </row>
    <row r="40" spans="1:42" x14ac:dyDescent="0.3">
      <c r="A40" s="12" t="s">
        <v>91</v>
      </c>
      <c r="B40" s="9">
        <v>50</v>
      </c>
      <c r="C40" s="9">
        <v>0</v>
      </c>
      <c r="D40" s="9">
        <v>50</v>
      </c>
      <c r="E40" s="9">
        <v>0</v>
      </c>
      <c r="F40" s="9">
        <v>50</v>
      </c>
      <c r="G40" s="9">
        <v>0</v>
      </c>
      <c r="H40" s="9">
        <v>50</v>
      </c>
      <c r="I40" s="9">
        <v>0</v>
      </c>
      <c r="J40" s="9">
        <v>50</v>
      </c>
      <c r="K40" s="9">
        <v>0</v>
      </c>
      <c r="L40" s="9">
        <v>50</v>
      </c>
      <c r="M40" s="9">
        <v>0</v>
      </c>
      <c r="N40" s="22">
        <f t="shared" ref="N40:N45" si="26">SUM(B40:M40)</f>
        <v>300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25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25"/>
    </row>
    <row r="41" spans="1:42" x14ac:dyDescent="0.3">
      <c r="A41" s="12" t="s">
        <v>93</v>
      </c>
      <c r="B41" s="9">
        <v>70</v>
      </c>
      <c r="C41" s="9">
        <v>70</v>
      </c>
      <c r="D41" s="9">
        <v>70</v>
      </c>
      <c r="E41" s="9">
        <v>70</v>
      </c>
      <c r="F41" s="9">
        <v>70</v>
      </c>
      <c r="G41" s="9">
        <v>70</v>
      </c>
      <c r="H41" s="9">
        <v>70</v>
      </c>
      <c r="I41" s="9">
        <v>70</v>
      </c>
      <c r="J41" s="9">
        <v>70</v>
      </c>
      <c r="K41" s="9">
        <v>70</v>
      </c>
      <c r="L41" s="9">
        <v>70</v>
      </c>
      <c r="M41" s="9">
        <v>70</v>
      </c>
      <c r="N41" s="22">
        <f t="shared" si="26"/>
        <v>840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25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25"/>
    </row>
    <row r="42" spans="1:42" x14ac:dyDescent="0.3">
      <c r="A42" s="12" t="s">
        <v>94</v>
      </c>
      <c r="B42" s="9">
        <v>40</v>
      </c>
      <c r="C42" s="9">
        <v>40</v>
      </c>
      <c r="D42" s="9">
        <v>40</v>
      </c>
      <c r="E42" s="9">
        <v>40</v>
      </c>
      <c r="F42" s="9">
        <v>40</v>
      </c>
      <c r="G42" s="9">
        <v>40</v>
      </c>
      <c r="H42" s="9">
        <v>40</v>
      </c>
      <c r="I42" s="9">
        <v>40</v>
      </c>
      <c r="J42" s="9">
        <v>40</v>
      </c>
      <c r="K42" s="9">
        <v>40</v>
      </c>
      <c r="L42" s="9">
        <v>40</v>
      </c>
      <c r="M42" s="9">
        <v>40</v>
      </c>
      <c r="N42" s="22">
        <f t="shared" si="26"/>
        <v>480</v>
      </c>
      <c r="P42" s="9">
        <v>40</v>
      </c>
      <c r="Q42" s="9">
        <v>40</v>
      </c>
      <c r="R42" s="9">
        <v>40</v>
      </c>
      <c r="S42" s="9">
        <v>40</v>
      </c>
      <c r="T42" s="9">
        <v>40</v>
      </c>
      <c r="U42" s="9">
        <v>40</v>
      </c>
      <c r="V42" s="9">
        <v>40</v>
      </c>
      <c r="W42" s="9">
        <v>40</v>
      </c>
      <c r="X42" s="9">
        <v>40</v>
      </c>
      <c r="Y42" s="9">
        <v>40</v>
      </c>
      <c r="Z42" s="9">
        <v>40</v>
      </c>
      <c r="AA42" s="9">
        <v>40</v>
      </c>
      <c r="AB42" s="25">
        <v>480</v>
      </c>
      <c r="AD42" s="9">
        <v>40</v>
      </c>
      <c r="AE42" s="9">
        <v>40</v>
      </c>
      <c r="AF42" s="9">
        <v>40</v>
      </c>
      <c r="AG42" s="9">
        <v>40</v>
      </c>
      <c r="AH42" s="9">
        <v>40</v>
      </c>
      <c r="AI42" s="9">
        <v>40</v>
      </c>
      <c r="AJ42" s="9">
        <v>40</v>
      </c>
      <c r="AK42" s="9">
        <v>40</v>
      </c>
      <c r="AL42" s="9">
        <v>40</v>
      </c>
      <c r="AM42" s="9">
        <v>40</v>
      </c>
      <c r="AN42" s="9">
        <v>40</v>
      </c>
      <c r="AO42" s="9">
        <v>40</v>
      </c>
      <c r="AP42" s="25">
        <v>480</v>
      </c>
    </row>
    <row r="43" spans="1:42" x14ac:dyDescent="0.3">
      <c r="A43" s="12" t="s">
        <v>95</v>
      </c>
      <c r="B43" s="9">
        <v>30</v>
      </c>
      <c r="C43" s="9">
        <v>30</v>
      </c>
      <c r="D43" s="9">
        <v>30</v>
      </c>
      <c r="E43" s="9">
        <v>30</v>
      </c>
      <c r="F43" s="9">
        <v>30</v>
      </c>
      <c r="G43" s="9">
        <v>30</v>
      </c>
      <c r="H43" s="9">
        <v>30</v>
      </c>
      <c r="I43" s="9">
        <v>30</v>
      </c>
      <c r="J43" s="9">
        <v>30</v>
      </c>
      <c r="K43" s="9">
        <v>30</v>
      </c>
      <c r="L43" s="9">
        <v>30</v>
      </c>
      <c r="M43" s="9">
        <v>30</v>
      </c>
      <c r="N43" s="22">
        <f t="shared" si="26"/>
        <v>360</v>
      </c>
      <c r="P43" s="9">
        <v>30</v>
      </c>
      <c r="Q43" s="9">
        <v>30</v>
      </c>
      <c r="R43" s="9">
        <v>30</v>
      </c>
      <c r="S43" s="9">
        <v>30</v>
      </c>
      <c r="T43" s="9">
        <v>30</v>
      </c>
      <c r="U43" s="9">
        <v>30</v>
      </c>
      <c r="V43" s="9">
        <v>30</v>
      </c>
      <c r="W43" s="9">
        <v>30</v>
      </c>
      <c r="X43" s="9">
        <v>30</v>
      </c>
      <c r="Y43" s="9">
        <v>30</v>
      </c>
      <c r="Z43" s="9">
        <v>30</v>
      </c>
      <c r="AA43" s="9">
        <v>30</v>
      </c>
      <c r="AB43" s="25">
        <v>360</v>
      </c>
      <c r="AD43" s="9">
        <v>30</v>
      </c>
      <c r="AE43" s="9">
        <v>30</v>
      </c>
      <c r="AF43" s="9">
        <v>30</v>
      </c>
      <c r="AG43" s="9">
        <v>30</v>
      </c>
      <c r="AH43" s="9">
        <v>30</v>
      </c>
      <c r="AI43" s="9">
        <v>30</v>
      </c>
      <c r="AJ43" s="9">
        <v>30</v>
      </c>
      <c r="AK43" s="9">
        <v>30</v>
      </c>
      <c r="AL43" s="9">
        <v>30</v>
      </c>
      <c r="AM43" s="9">
        <v>30</v>
      </c>
      <c r="AN43" s="9">
        <v>30</v>
      </c>
      <c r="AO43" s="9">
        <v>30</v>
      </c>
      <c r="AP43" s="25">
        <v>360</v>
      </c>
    </row>
    <row r="44" spans="1:42" x14ac:dyDescent="0.3">
      <c r="A44" s="12" t="s">
        <v>96</v>
      </c>
      <c r="B44" s="9">
        <v>250</v>
      </c>
      <c r="C44" s="9">
        <v>250</v>
      </c>
      <c r="D44" s="9">
        <v>250</v>
      </c>
      <c r="E44" s="9">
        <v>250</v>
      </c>
      <c r="F44" s="9">
        <v>250</v>
      </c>
      <c r="G44" s="9">
        <v>250</v>
      </c>
      <c r="H44" s="9">
        <v>250</v>
      </c>
      <c r="I44" s="9">
        <v>250</v>
      </c>
      <c r="J44" s="9">
        <v>250</v>
      </c>
      <c r="K44" s="9">
        <v>250</v>
      </c>
      <c r="L44" s="9">
        <v>250</v>
      </c>
      <c r="M44" s="9">
        <v>250</v>
      </c>
      <c r="N44" s="22">
        <f t="shared" si="26"/>
        <v>3000</v>
      </c>
      <c r="P44" s="9">
        <v>250</v>
      </c>
      <c r="Q44" s="9">
        <v>250</v>
      </c>
      <c r="R44" s="9">
        <v>250</v>
      </c>
      <c r="S44" s="9">
        <v>250</v>
      </c>
      <c r="T44" s="9">
        <v>250</v>
      </c>
      <c r="U44" s="9">
        <v>250</v>
      </c>
      <c r="V44" s="9">
        <v>250</v>
      </c>
      <c r="W44" s="9">
        <v>250</v>
      </c>
      <c r="X44" s="9">
        <v>250</v>
      </c>
      <c r="Y44" s="9">
        <v>250</v>
      </c>
      <c r="Z44" s="9">
        <v>250</v>
      </c>
      <c r="AA44" s="9">
        <v>250</v>
      </c>
      <c r="AB44" s="25">
        <v>3000</v>
      </c>
      <c r="AD44" s="9">
        <v>250</v>
      </c>
      <c r="AE44" s="9">
        <v>250</v>
      </c>
      <c r="AF44" s="9">
        <v>250</v>
      </c>
      <c r="AG44" s="9">
        <v>250</v>
      </c>
      <c r="AH44" s="9">
        <v>250</v>
      </c>
      <c r="AI44" s="9">
        <v>250</v>
      </c>
      <c r="AJ44" s="9">
        <v>250</v>
      </c>
      <c r="AK44" s="9">
        <v>250</v>
      </c>
      <c r="AL44" s="9">
        <v>250</v>
      </c>
      <c r="AM44" s="9">
        <v>250</v>
      </c>
      <c r="AN44" s="9">
        <v>250</v>
      </c>
      <c r="AO44" s="9">
        <v>250</v>
      </c>
      <c r="AP44" s="25">
        <v>3000</v>
      </c>
    </row>
    <row r="45" spans="1:42" x14ac:dyDescent="0.3">
      <c r="A45" s="12" t="s">
        <v>97</v>
      </c>
      <c r="B45" s="9">
        <v>300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>
        <f t="shared" si="26"/>
        <v>300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25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25"/>
    </row>
    <row r="46" spans="1:42" x14ac:dyDescent="0.3">
      <c r="A46" s="9" t="s">
        <v>48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22">
        <f>SUM(B37:M45)</f>
        <v>16832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25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25"/>
    </row>
    <row r="47" spans="1:42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25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25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25"/>
    </row>
    <row r="48" spans="1:42" x14ac:dyDescent="0.3">
      <c r="A48" s="31" t="s">
        <v>98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25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25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25"/>
    </row>
    <row r="49" spans="1:42" x14ac:dyDescent="0.3">
      <c r="A49" s="12" t="s">
        <v>26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22">
        <f t="shared" ref="N49:N55" si="27">SUM(B49:M49)</f>
        <v>0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25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25"/>
    </row>
    <row r="50" spans="1:42" x14ac:dyDescent="0.3">
      <c r="A50" s="12" t="s">
        <v>27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22">
        <f t="shared" si="27"/>
        <v>0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25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25"/>
    </row>
    <row r="51" spans="1:42" x14ac:dyDescent="0.3">
      <c r="A51" s="12" t="s">
        <v>29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>
        <f t="shared" si="27"/>
        <v>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25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25"/>
    </row>
    <row r="52" spans="1:42" x14ac:dyDescent="0.3">
      <c r="A52" s="12" t="s">
        <v>28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22">
        <f t="shared" si="27"/>
        <v>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25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25"/>
    </row>
    <row r="53" spans="1:42" x14ac:dyDescent="0.3">
      <c r="A53" s="12" t="s">
        <v>30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22">
        <f t="shared" si="27"/>
        <v>0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25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25"/>
    </row>
    <row r="54" spans="1:42" x14ac:dyDescent="0.3">
      <c r="A54" s="12" t="s">
        <v>31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22">
        <f t="shared" si="27"/>
        <v>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25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25"/>
    </row>
    <row r="55" spans="1:42" x14ac:dyDescent="0.3">
      <c r="A55" s="9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22">
        <f t="shared" si="27"/>
        <v>0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2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25"/>
    </row>
    <row r="56" spans="1:42" x14ac:dyDescent="0.3">
      <c r="A56" s="1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2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2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25"/>
    </row>
    <row r="57" spans="1:42" x14ac:dyDescent="0.3">
      <c r="A57" s="32" t="s">
        <v>51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2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2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25"/>
    </row>
    <row r="58" spans="1:42" x14ac:dyDescent="0.3">
      <c r="A58" s="12" t="s">
        <v>41</v>
      </c>
      <c r="B58" s="9">
        <v>2000</v>
      </c>
      <c r="C58" s="9">
        <v>2000</v>
      </c>
      <c r="D58" s="9">
        <v>2000</v>
      </c>
      <c r="E58" s="9">
        <v>2000</v>
      </c>
      <c r="F58" s="9">
        <v>2000</v>
      </c>
      <c r="G58" s="9">
        <v>2000</v>
      </c>
      <c r="H58" s="9">
        <v>2000</v>
      </c>
      <c r="I58" s="9">
        <v>2000</v>
      </c>
      <c r="J58" s="9">
        <v>2000</v>
      </c>
      <c r="K58" s="9">
        <v>2000</v>
      </c>
      <c r="L58" s="9">
        <v>2000</v>
      </c>
      <c r="M58" s="9">
        <v>2000</v>
      </c>
      <c r="N58" s="22">
        <f t="shared" ref="N58:N65" si="28">SUM(B58:M58)</f>
        <v>24000</v>
      </c>
      <c r="P58" s="9">
        <v>2000</v>
      </c>
      <c r="Q58" s="9">
        <v>2000</v>
      </c>
      <c r="R58" s="9">
        <v>2000</v>
      </c>
      <c r="S58" s="9">
        <v>2000</v>
      </c>
      <c r="T58" s="9">
        <v>2000</v>
      </c>
      <c r="U58" s="9">
        <v>2000</v>
      </c>
      <c r="V58" s="9">
        <v>2000</v>
      </c>
      <c r="W58" s="9">
        <v>2000</v>
      </c>
      <c r="X58" s="9">
        <v>2000</v>
      </c>
      <c r="Y58" s="9">
        <v>2000</v>
      </c>
      <c r="Z58" s="9">
        <v>2000</v>
      </c>
      <c r="AA58" s="9">
        <v>2000</v>
      </c>
      <c r="AB58" s="25">
        <v>24000</v>
      </c>
      <c r="AD58" s="9">
        <v>2000</v>
      </c>
      <c r="AE58" s="9">
        <v>2000</v>
      </c>
      <c r="AF58" s="9">
        <v>2000</v>
      </c>
      <c r="AG58" s="9">
        <v>2000</v>
      </c>
      <c r="AH58" s="9">
        <v>2000</v>
      </c>
      <c r="AI58" s="9">
        <v>2000</v>
      </c>
      <c r="AJ58" s="9">
        <v>2000</v>
      </c>
      <c r="AK58" s="9">
        <v>2000</v>
      </c>
      <c r="AL58" s="9">
        <v>2000</v>
      </c>
      <c r="AM58" s="9">
        <v>2000</v>
      </c>
      <c r="AN58" s="9">
        <v>2000</v>
      </c>
      <c r="AO58" s="9">
        <v>2000</v>
      </c>
      <c r="AP58" s="25">
        <v>24000</v>
      </c>
    </row>
    <row r="59" spans="1:42" x14ac:dyDescent="0.3">
      <c r="A59" s="12" t="s">
        <v>42</v>
      </c>
      <c r="B59" s="9">
        <v>1000</v>
      </c>
      <c r="C59" s="9">
        <v>1000</v>
      </c>
      <c r="D59" s="9">
        <v>1000</v>
      </c>
      <c r="E59" s="9">
        <v>1000</v>
      </c>
      <c r="F59" s="9">
        <v>1000</v>
      </c>
      <c r="G59" s="9">
        <v>1000</v>
      </c>
      <c r="H59" s="9">
        <v>1000</v>
      </c>
      <c r="I59" s="9">
        <v>1000</v>
      </c>
      <c r="J59" s="9">
        <v>1000</v>
      </c>
      <c r="K59" s="9">
        <v>1000</v>
      </c>
      <c r="L59" s="9">
        <v>1000</v>
      </c>
      <c r="M59" s="9">
        <v>1000</v>
      </c>
      <c r="N59" s="22">
        <f t="shared" si="28"/>
        <v>12000</v>
      </c>
      <c r="P59" s="9">
        <v>1000</v>
      </c>
      <c r="Q59" s="9">
        <v>1000</v>
      </c>
      <c r="R59" s="9">
        <v>1000</v>
      </c>
      <c r="S59" s="9">
        <v>1000</v>
      </c>
      <c r="T59" s="9">
        <v>1000</v>
      </c>
      <c r="U59" s="9">
        <v>1000</v>
      </c>
      <c r="V59" s="9">
        <v>1000</v>
      </c>
      <c r="W59" s="9">
        <v>1000</v>
      </c>
      <c r="X59" s="9">
        <v>1000</v>
      </c>
      <c r="Y59" s="9">
        <v>1000</v>
      </c>
      <c r="Z59" s="9">
        <v>1000</v>
      </c>
      <c r="AA59" s="9">
        <v>1000</v>
      </c>
      <c r="AB59" s="25">
        <v>12000</v>
      </c>
      <c r="AD59" s="9">
        <v>1000</v>
      </c>
      <c r="AE59" s="9">
        <v>1000</v>
      </c>
      <c r="AF59" s="9">
        <v>1000</v>
      </c>
      <c r="AG59" s="9">
        <v>1000</v>
      </c>
      <c r="AH59" s="9">
        <v>1000</v>
      </c>
      <c r="AI59" s="9">
        <v>1000</v>
      </c>
      <c r="AJ59" s="9">
        <v>1000</v>
      </c>
      <c r="AK59" s="9">
        <v>1000</v>
      </c>
      <c r="AL59" s="9">
        <v>1000</v>
      </c>
      <c r="AM59" s="9">
        <v>1000</v>
      </c>
      <c r="AN59" s="9">
        <v>1000</v>
      </c>
      <c r="AO59" s="9">
        <v>1000</v>
      </c>
      <c r="AP59" s="25">
        <v>12000</v>
      </c>
    </row>
    <row r="60" spans="1:42" x14ac:dyDescent="0.3">
      <c r="A60" s="12" t="s">
        <v>43</v>
      </c>
      <c r="B60" s="9">
        <v>3000</v>
      </c>
      <c r="C60" s="9">
        <v>3000</v>
      </c>
      <c r="D60" s="9">
        <v>3000</v>
      </c>
      <c r="E60" s="9">
        <v>3000</v>
      </c>
      <c r="F60" s="9">
        <v>3000</v>
      </c>
      <c r="G60" s="9">
        <v>3000</v>
      </c>
      <c r="H60" s="9">
        <v>3000</v>
      </c>
      <c r="I60" s="9">
        <v>3000</v>
      </c>
      <c r="J60" s="9">
        <v>3000</v>
      </c>
      <c r="K60" s="9">
        <v>3000</v>
      </c>
      <c r="L60" s="9">
        <v>3000</v>
      </c>
      <c r="M60" s="9">
        <v>3000</v>
      </c>
      <c r="N60" s="22">
        <f t="shared" si="28"/>
        <v>36000</v>
      </c>
      <c r="P60" s="9">
        <v>3000</v>
      </c>
      <c r="Q60" s="9">
        <v>3000</v>
      </c>
      <c r="R60" s="9">
        <v>3000</v>
      </c>
      <c r="S60" s="9">
        <v>3000</v>
      </c>
      <c r="T60" s="9">
        <v>3000</v>
      </c>
      <c r="U60" s="9">
        <v>3000</v>
      </c>
      <c r="V60" s="9">
        <v>3000</v>
      </c>
      <c r="W60" s="9">
        <v>3000</v>
      </c>
      <c r="X60" s="9">
        <v>3000</v>
      </c>
      <c r="Y60" s="9">
        <v>3000</v>
      </c>
      <c r="Z60" s="9">
        <v>3000</v>
      </c>
      <c r="AA60" s="9">
        <v>3000</v>
      </c>
      <c r="AB60" s="25">
        <v>36000</v>
      </c>
      <c r="AD60" s="9">
        <v>3000</v>
      </c>
      <c r="AE60" s="9">
        <v>3000</v>
      </c>
      <c r="AF60" s="9">
        <v>3000</v>
      </c>
      <c r="AG60" s="9">
        <v>3000</v>
      </c>
      <c r="AH60" s="9">
        <v>3000</v>
      </c>
      <c r="AI60" s="9">
        <v>3000</v>
      </c>
      <c r="AJ60" s="9">
        <v>3000</v>
      </c>
      <c r="AK60" s="9">
        <v>3000</v>
      </c>
      <c r="AL60" s="9">
        <v>3000</v>
      </c>
      <c r="AM60" s="9">
        <v>3000</v>
      </c>
      <c r="AN60" s="9">
        <v>3000</v>
      </c>
      <c r="AO60" s="9">
        <v>3000</v>
      </c>
      <c r="AP60" s="25">
        <v>36000</v>
      </c>
    </row>
    <row r="61" spans="1:42" x14ac:dyDescent="0.3">
      <c r="A61" s="12" t="s">
        <v>44</v>
      </c>
      <c r="B61" s="9">
        <v>1000</v>
      </c>
      <c r="C61" s="9">
        <v>1000</v>
      </c>
      <c r="D61" s="9">
        <v>1000</v>
      </c>
      <c r="E61" s="9">
        <v>1000</v>
      </c>
      <c r="F61" s="9">
        <v>1000</v>
      </c>
      <c r="G61" s="9">
        <v>1000</v>
      </c>
      <c r="H61" s="9">
        <v>1000</v>
      </c>
      <c r="I61" s="9">
        <v>1000</v>
      </c>
      <c r="J61" s="9">
        <v>1000</v>
      </c>
      <c r="K61" s="9">
        <v>1000</v>
      </c>
      <c r="L61" s="9">
        <v>1000</v>
      </c>
      <c r="M61" s="9">
        <v>1000</v>
      </c>
      <c r="N61" s="22">
        <f t="shared" si="28"/>
        <v>12000</v>
      </c>
      <c r="P61" s="9">
        <v>1000</v>
      </c>
      <c r="Q61" s="9">
        <v>1000</v>
      </c>
      <c r="R61" s="9">
        <v>1000</v>
      </c>
      <c r="S61" s="9">
        <v>1000</v>
      </c>
      <c r="T61" s="9">
        <v>1000</v>
      </c>
      <c r="U61" s="9">
        <v>1000</v>
      </c>
      <c r="V61" s="9">
        <v>1000</v>
      </c>
      <c r="W61" s="9">
        <v>1000</v>
      </c>
      <c r="X61" s="9">
        <v>1000</v>
      </c>
      <c r="Y61" s="9">
        <v>1000</v>
      </c>
      <c r="Z61" s="9">
        <v>1000</v>
      </c>
      <c r="AA61" s="9">
        <v>1000</v>
      </c>
      <c r="AB61" s="25">
        <v>12000</v>
      </c>
      <c r="AD61" s="9">
        <v>1000</v>
      </c>
      <c r="AE61" s="9">
        <v>1000</v>
      </c>
      <c r="AF61" s="9">
        <v>1000</v>
      </c>
      <c r="AG61" s="9">
        <v>1000</v>
      </c>
      <c r="AH61" s="9">
        <v>1000</v>
      </c>
      <c r="AI61" s="9">
        <v>1000</v>
      </c>
      <c r="AJ61" s="9">
        <v>1000</v>
      </c>
      <c r="AK61" s="9">
        <v>1000</v>
      </c>
      <c r="AL61" s="9">
        <v>1000</v>
      </c>
      <c r="AM61" s="9">
        <v>1000</v>
      </c>
      <c r="AN61" s="9">
        <v>1000</v>
      </c>
      <c r="AO61" s="9">
        <v>1000</v>
      </c>
      <c r="AP61" s="25">
        <v>12000</v>
      </c>
    </row>
    <row r="62" spans="1:42" x14ac:dyDescent="0.3">
      <c r="A62" s="12" t="s">
        <v>45</v>
      </c>
      <c r="B62" s="9">
        <v>1000</v>
      </c>
      <c r="C62" s="9">
        <v>1000</v>
      </c>
      <c r="D62" s="9">
        <v>1000</v>
      </c>
      <c r="E62" s="9">
        <v>1000</v>
      </c>
      <c r="F62" s="9">
        <v>1000</v>
      </c>
      <c r="G62" s="9">
        <v>1000</v>
      </c>
      <c r="H62" s="9">
        <v>1000</v>
      </c>
      <c r="I62" s="9">
        <v>1000</v>
      </c>
      <c r="J62" s="9">
        <v>1000</v>
      </c>
      <c r="K62" s="9">
        <v>1000</v>
      </c>
      <c r="L62" s="9">
        <v>1000</v>
      </c>
      <c r="M62" s="9">
        <v>1000</v>
      </c>
      <c r="N62" s="22">
        <f>SUM(B62:M62)</f>
        <v>12000</v>
      </c>
      <c r="P62" s="9">
        <v>1000</v>
      </c>
      <c r="Q62" s="9">
        <v>1000</v>
      </c>
      <c r="R62" s="9">
        <v>1000</v>
      </c>
      <c r="S62" s="9">
        <v>1000</v>
      </c>
      <c r="T62" s="9">
        <v>1000</v>
      </c>
      <c r="U62" s="9">
        <v>1000</v>
      </c>
      <c r="V62" s="9">
        <v>1000</v>
      </c>
      <c r="W62" s="9">
        <v>1000</v>
      </c>
      <c r="X62" s="9">
        <v>1000</v>
      </c>
      <c r="Y62" s="9">
        <v>1000</v>
      </c>
      <c r="Z62" s="9">
        <v>1000</v>
      </c>
      <c r="AA62" s="9">
        <v>1000</v>
      </c>
      <c r="AB62" s="25">
        <v>12000</v>
      </c>
      <c r="AD62" s="9">
        <v>1000</v>
      </c>
      <c r="AE62" s="9">
        <v>1000</v>
      </c>
      <c r="AF62" s="9">
        <v>1000</v>
      </c>
      <c r="AG62" s="9">
        <v>1000</v>
      </c>
      <c r="AH62" s="9">
        <v>1000</v>
      </c>
      <c r="AI62" s="9">
        <v>1000</v>
      </c>
      <c r="AJ62" s="9">
        <v>1000</v>
      </c>
      <c r="AK62" s="9">
        <v>1000</v>
      </c>
      <c r="AL62" s="9">
        <v>1000</v>
      </c>
      <c r="AM62" s="9">
        <v>1000</v>
      </c>
      <c r="AN62" s="9">
        <v>1000</v>
      </c>
      <c r="AO62" s="9">
        <v>1000</v>
      </c>
      <c r="AP62" s="25">
        <v>12000</v>
      </c>
    </row>
    <row r="63" spans="1:42" x14ac:dyDescent="0.3">
      <c r="A63" s="12" t="s">
        <v>46</v>
      </c>
      <c r="B63" s="9">
        <v>1000</v>
      </c>
      <c r="C63" s="9">
        <v>1000</v>
      </c>
      <c r="D63" s="9">
        <v>1000</v>
      </c>
      <c r="E63" s="9">
        <v>1000</v>
      </c>
      <c r="F63" s="9">
        <v>1000</v>
      </c>
      <c r="G63" s="9">
        <v>1000</v>
      </c>
      <c r="H63" s="9">
        <v>1000</v>
      </c>
      <c r="I63" s="9">
        <v>1000</v>
      </c>
      <c r="J63" s="9">
        <v>1000</v>
      </c>
      <c r="K63" s="9">
        <v>1000</v>
      </c>
      <c r="L63" s="9">
        <v>1000</v>
      </c>
      <c r="M63" s="9">
        <v>1000</v>
      </c>
      <c r="N63" s="22">
        <f t="shared" si="28"/>
        <v>12000</v>
      </c>
      <c r="P63" s="9">
        <v>1000</v>
      </c>
      <c r="Q63" s="9">
        <v>1000</v>
      </c>
      <c r="R63" s="9">
        <v>1000</v>
      </c>
      <c r="S63" s="9">
        <v>1000</v>
      </c>
      <c r="T63" s="9">
        <v>1000</v>
      </c>
      <c r="U63" s="9">
        <v>1000</v>
      </c>
      <c r="V63" s="9">
        <v>1000</v>
      </c>
      <c r="W63" s="9">
        <v>1000</v>
      </c>
      <c r="X63" s="9">
        <v>1000</v>
      </c>
      <c r="Y63" s="9">
        <v>1000</v>
      </c>
      <c r="Z63" s="9">
        <v>1000</v>
      </c>
      <c r="AA63" s="9">
        <v>1000</v>
      </c>
      <c r="AB63" s="25">
        <v>12000</v>
      </c>
      <c r="AD63" s="9">
        <v>1000</v>
      </c>
      <c r="AE63" s="9">
        <v>1000</v>
      </c>
      <c r="AF63" s="9">
        <v>1000</v>
      </c>
      <c r="AG63" s="9">
        <v>1000</v>
      </c>
      <c r="AH63" s="9">
        <v>1000</v>
      </c>
      <c r="AI63" s="9">
        <v>1000</v>
      </c>
      <c r="AJ63" s="9">
        <v>1000</v>
      </c>
      <c r="AK63" s="9">
        <v>1000</v>
      </c>
      <c r="AL63" s="9">
        <v>1000</v>
      </c>
      <c r="AM63" s="9">
        <v>1000</v>
      </c>
      <c r="AN63" s="9">
        <v>1000</v>
      </c>
      <c r="AO63" s="9">
        <v>1000</v>
      </c>
      <c r="AP63" s="25">
        <v>12000</v>
      </c>
    </row>
    <row r="64" spans="1:42" x14ac:dyDescent="0.3">
      <c r="A64" s="12" t="s">
        <v>47</v>
      </c>
      <c r="B64" s="9">
        <v>1000</v>
      </c>
      <c r="C64" s="9">
        <v>1000</v>
      </c>
      <c r="D64" s="9">
        <v>1000</v>
      </c>
      <c r="E64" s="9">
        <v>1000</v>
      </c>
      <c r="F64" s="9">
        <v>1000</v>
      </c>
      <c r="G64" s="9">
        <v>1000</v>
      </c>
      <c r="H64" s="9">
        <v>1000</v>
      </c>
      <c r="I64" s="9">
        <v>1000</v>
      </c>
      <c r="J64" s="9">
        <v>1000</v>
      </c>
      <c r="K64" s="9">
        <v>1000</v>
      </c>
      <c r="L64" s="9">
        <v>1000</v>
      </c>
      <c r="M64" s="9">
        <v>1000</v>
      </c>
      <c r="N64" s="22">
        <f t="shared" si="28"/>
        <v>12000</v>
      </c>
      <c r="P64" s="9">
        <v>1000</v>
      </c>
      <c r="Q64" s="9">
        <v>1000</v>
      </c>
      <c r="R64" s="9">
        <v>1000</v>
      </c>
      <c r="S64" s="9">
        <v>1000</v>
      </c>
      <c r="T64" s="9">
        <v>1000</v>
      </c>
      <c r="U64" s="9">
        <v>1000</v>
      </c>
      <c r="V64" s="9">
        <v>1000</v>
      </c>
      <c r="W64" s="9">
        <v>1000</v>
      </c>
      <c r="X64" s="9">
        <v>1000</v>
      </c>
      <c r="Y64" s="9">
        <v>1000</v>
      </c>
      <c r="Z64" s="9">
        <v>1000</v>
      </c>
      <c r="AA64" s="9">
        <v>1000</v>
      </c>
      <c r="AB64" s="25">
        <v>12000</v>
      </c>
      <c r="AD64" s="9">
        <v>1000</v>
      </c>
      <c r="AE64" s="9">
        <v>1000</v>
      </c>
      <c r="AF64" s="9">
        <v>1000</v>
      </c>
      <c r="AG64" s="9">
        <v>1000</v>
      </c>
      <c r="AH64" s="9">
        <v>1000</v>
      </c>
      <c r="AI64" s="9">
        <v>1000</v>
      </c>
      <c r="AJ64" s="9">
        <v>1000</v>
      </c>
      <c r="AK64" s="9">
        <v>1000</v>
      </c>
      <c r="AL64" s="9">
        <v>1000</v>
      </c>
      <c r="AM64" s="9">
        <v>1000</v>
      </c>
      <c r="AN64" s="9">
        <v>1000</v>
      </c>
      <c r="AO64" s="9">
        <v>1000</v>
      </c>
      <c r="AP64" s="25">
        <v>12000</v>
      </c>
    </row>
    <row r="65" spans="1:42" x14ac:dyDescent="0.3">
      <c r="A65" s="12" t="s">
        <v>48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22">
        <f t="shared" si="28"/>
        <v>0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2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25"/>
    </row>
    <row r="66" spans="1:42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25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25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25"/>
    </row>
    <row r="67" spans="1:42" x14ac:dyDescent="0.3">
      <c r="A67" s="11" t="s">
        <v>52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25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25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25"/>
    </row>
    <row r="68" spans="1:42" x14ac:dyDescent="0.3">
      <c r="A68" s="12" t="s">
        <v>53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22">
        <f>SUM(B68:M68)</f>
        <v>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25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25"/>
    </row>
    <row r="69" spans="1:42" x14ac:dyDescent="0.3">
      <c r="A69" s="12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22">
        <f>SUM(B69:M69)</f>
        <v>0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25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25"/>
    </row>
    <row r="70" spans="1:42" x14ac:dyDescent="0.3">
      <c r="A70" s="12" t="s">
        <v>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22">
        <f>SUM(B70:M70)</f>
        <v>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25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25"/>
    </row>
    <row r="71" spans="1:42" x14ac:dyDescent="0.3">
      <c r="A71" s="9" t="s">
        <v>48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22">
        <f>SUM(B71:M71)</f>
        <v>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25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25"/>
    </row>
    <row r="72" spans="1:42" x14ac:dyDescent="0.3">
      <c r="A72" s="1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2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25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25"/>
    </row>
    <row r="73" spans="1:42" x14ac:dyDescent="0.3">
      <c r="A73" s="31" t="s">
        <v>56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2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25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25"/>
    </row>
    <row r="74" spans="1:42" x14ac:dyDescent="0.3">
      <c r="A74" s="12" t="s">
        <v>102</v>
      </c>
      <c r="B74" s="9">
        <v>269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22">
        <f>SUM(B74:M74)</f>
        <v>269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25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25"/>
    </row>
    <row r="75" spans="1:42" x14ac:dyDescent="0.3">
      <c r="A75" s="12" t="s">
        <v>57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22">
        <f>SUM(B75:M75)</f>
        <v>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25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25"/>
    </row>
    <row r="76" spans="1:42" x14ac:dyDescent="0.3">
      <c r="A76" s="12" t="s">
        <v>58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22">
        <f>SUM(B76:M76)</f>
        <v>0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25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25"/>
    </row>
    <row r="77" spans="1:42" x14ac:dyDescent="0.3">
      <c r="A77" s="12" t="s">
        <v>59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22">
        <f>SUM(B77:M77)</f>
        <v>0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25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25"/>
    </row>
    <row r="78" spans="1:42" x14ac:dyDescent="0.3">
      <c r="A78" s="9" t="s">
        <v>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22">
        <f>SUM(B78:M78)</f>
        <v>0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25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25"/>
    </row>
    <row r="79" spans="1:42" x14ac:dyDescent="0.3">
      <c r="A79" s="1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25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25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25"/>
    </row>
    <row r="80" spans="1:42" x14ac:dyDescent="0.3">
      <c r="A80" s="11" t="s">
        <v>18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2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25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25"/>
    </row>
    <row r="81" spans="1:42" x14ac:dyDescent="0.3">
      <c r="A81" s="9" t="s">
        <v>17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22">
        <f>SUM(B81:M81)</f>
        <v>0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25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25"/>
    </row>
    <row r="82" spans="1:42" x14ac:dyDescent="0.3">
      <c r="A82" s="9" t="s">
        <v>64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22">
        <f>SUM(B82:M82)</f>
        <v>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25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25"/>
    </row>
    <row r="83" spans="1:42" x14ac:dyDescent="0.3">
      <c r="A83" s="9" t="s">
        <v>35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22">
        <f>SUM(B83:M83)</f>
        <v>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25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25"/>
    </row>
    <row r="84" spans="1:42" x14ac:dyDescent="0.3">
      <c r="A84" s="9" t="s">
        <v>48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22">
        <f>SUM(B84:M84)</f>
        <v>0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26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26"/>
    </row>
    <row r="85" spans="1:42" x14ac:dyDescent="0.3">
      <c r="A85" s="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26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26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26"/>
    </row>
    <row r="86" spans="1:42" x14ac:dyDescent="0.3">
      <c r="A86" s="14" t="s">
        <v>49</v>
      </c>
      <c r="B86" s="9">
        <f>SUM(B84,B78,B71,B65,B55,B46,B38,B37,B34,B32,B29)</f>
        <v>16000</v>
      </c>
      <c r="C86" s="9">
        <f t="shared" ref="C86:N86" si="29">SUM(C84,C78,C71,C65,C55,C46,C38,C37,C34,C32,C29)</f>
        <v>15900</v>
      </c>
      <c r="D86" s="9">
        <f t="shared" si="29"/>
        <v>16000</v>
      </c>
      <c r="E86" s="9">
        <f t="shared" si="29"/>
        <v>15950</v>
      </c>
      <c r="F86" s="9">
        <f t="shared" si="29"/>
        <v>15970</v>
      </c>
      <c r="G86" s="9">
        <f t="shared" si="29"/>
        <v>15930</v>
      </c>
      <c r="H86" s="9">
        <f t="shared" si="29"/>
        <v>15988</v>
      </c>
      <c r="I86" s="9">
        <f t="shared" si="29"/>
        <v>15953</v>
      </c>
      <c r="J86" s="9">
        <f t="shared" si="29"/>
        <v>15937</v>
      </c>
      <c r="K86" s="9">
        <f t="shared" si="29"/>
        <v>15984</v>
      </c>
      <c r="L86" s="9">
        <f t="shared" si="29"/>
        <v>15996</v>
      </c>
      <c r="M86" s="9">
        <f t="shared" si="29"/>
        <v>15944</v>
      </c>
      <c r="N86" s="23">
        <f t="shared" si="29"/>
        <v>535384</v>
      </c>
      <c r="P86" s="9">
        <f>SUM(P84,P78,P71,P65,P55,P46,P38,P37,P34,P32,P29)</f>
        <v>16000</v>
      </c>
      <c r="Q86" s="9">
        <f t="shared" ref="Q86:AB86" si="30">SUM(Q84,Q78,Q71,Q65,Q55,Q46,Q38,Q37,Q34,Q32,Q29)</f>
        <v>15944</v>
      </c>
      <c r="R86" s="9">
        <f t="shared" si="30"/>
        <v>15996</v>
      </c>
      <c r="S86" s="9">
        <f t="shared" si="30"/>
        <v>15977</v>
      </c>
      <c r="T86" s="9">
        <f t="shared" si="30"/>
        <v>15936</v>
      </c>
      <c r="U86" s="9">
        <f t="shared" si="30"/>
        <v>15959</v>
      </c>
      <c r="V86" s="9">
        <f t="shared" si="30"/>
        <v>16005</v>
      </c>
      <c r="W86" s="9">
        <f t="shared" si="30"/>
        <v>15996</v>
      </c>
      <c r="X86" s="9">
        <f t="shared" si="30"/>
        <v>15945</v>
      </c>
      <c r="Y86" s="9">
        <f t="shared" si="30"/>
        <v>15988</v>
      </c>
      <c r="Z86" s="9">
        <f t="shared" si="30"/>
        <v>15912</v>
      </c>
      <c r="AA86" s="9">
        <f t="shared" si="30"/>
        <v>15900</v>
      </c>
      <c r="AB86" s="23">
        <f t="shared" si="30"/>
        <v>191558</v>
      </c>
      <c r="AD86" s="9">
        <f>SUM(AD84,AD78,AD71,AD65,AD55,AD46,AD38,AD37,AD34,AD32,AD29)</f>
        <v>15956</v>
      </c>
      <c r="AE86" s="9">
        <f t="shared" ref="AE86:AP86" si="31">SUM(AE84,AE78,AE71,AE65,AE55,AE46,AE38,AE37,AE34,AE32,AE29)</f>
        <v>15989</v>
      </c>
      <c r="AF86" s="9">
        <f t="shared" si="31"/>
        <v>15977</v>
      </c>
      <c r="AG86" s="9">
        <f t="shared" si="31"/>
        <v>15952</v>
      </c>
      <c r="AH86" s="9">
        <f t="shared" si="31"/>
        <v>15958</v>
      </c>
      <c r="AI86" s="9">
        <f t="shared" si="31"/>
        <v>15974</v>
      </c>
      <c r="AJ86" s="9">
        <f t="shared" si="31"/>
        <v>15931</v>
      </c>
      <c r="AK86" s="9">
        <f t="shared" si="31"/>
        <v>15950</v>
      </c>
      <c r="AL86" s="9">
        <f t="shared" si="31"/>
        <v>16010</v>
      </c>
      <c r="AM86" s="9">
        <f t="shared" si="31"/>
        <v>15988</v>
      </c>
      <c r="AN86" s="9">
        <f t="shared" si="31"/>
        <v>15990</v>
      </c>
      <c r="AO86" s="9">
        <f t="shared" si="31"/>
        <v>15947</v>
      </c>
      <c r="AP86" s="23">
        <f t="shared" si="31"/>
        <v>191622</v>
      </c>
    </row>
    <row r="88" spans="1:42" x14ac:dyDescent="0.3">
      <c r="A88" s="15"/>
      <c r="B88" s="15" t="s">
        <v>3</v>
      </c>
      <c r="C88" s="15" t="s">
        <v>3</v>
      </c>
      <c r="D88" s="15" t="s">
        <v>3</v>
      </c>
      <c r="E88" s="15" t="s">
        <v>3</v>
      </c>
      <c r="F88" s="15" t="s">
        <v>3</v>
      </c>
      <c r="G88" s="15" t="s">
        <v>3</v>
      </c>
      <c r="H88" s="15" t="s">
        <v>3</v>
      </c>
      <c r="I88" s="15" t="s">
        <v>3</v>
      </c>
      <c r="J88" s="15" t="s">
        <v>3</v>
      </c>
      <c r="K88" s="15" t="s">
        <v>3</v>
      </c>
      <c r="L88" s="15" t="s">
        <v>3</v>
      </c>
      <c r="M88" s="15" t="s">
        <v>3</v>
      </c>
      <c r="N88" s="27" t="s">
        <v>16</v>
      </c>
      <c r="P88" s="15" t="s">
        <v>3</v>
      </c>
      <c r="Q88" s="15" t="s">
        <v>3</v>
      </c>
      <c r="R88" s="15" t="s">
        <v>3</v>
      </c>
      <c r="S88" s="15" t="s">
        <v>3</v>
      </c>
      <c r="T88" s="15" t="s">
        <v>3</v>
      </c>
      <c r="U88" s="15" t="s">
        <v>3</v>
      </c>
      <c r="V88" s="15" t="s">
        <v>3</v>
      </c>
      <c r="W88" s="15" t="s">
        <v>3</v>
      </c>
      <c r="X88" s="15" t="s">
        <v>3</v>
      </c>
      <c r="Y88" s="15" t="s">
        <v>3</v>
      </c>
      <c r="Z88" s="15" t="s">
        <v>3</v>
      </c>
      <c r="AA88" s="15" t="s">
        <v>3</v>
      </c>
      <c r="AB88" s="27" t="s">
        <v>61</v>
      </c>
      <c r="AD88" s="15" t="s">
        <v>3</v>
      </c>
      <c r="AE88" s="15" t="s">
        <v>3</v>
      </c>
      <c r="AF88" s="15" t="s">
        <v>3</v>
      </c>
      <c r="AG88" s="15" t="s">
        <v>3</v>
      </c>
      <c r="AH88" s="15" t="s">
        <v>3</v>
      </c>
      <c r="AI88" s="15" t="s">
        <v>3</v>
      </c>
      <c r="AJ88" s="15" t="s">
        <v>3</v>
      </c>
      <c r="AK88" s="15" t="s">
        <v>3</v>
      </c>
      <c r="AL88" s="15" t="s">
        <v>3</v>
      </c>
      <c r="AM88" s="15" t="s">
        <v>3</v>
      </c>
      <c r="AN88" s="15" t="s">
        <v>3</v>
      </c>
      <c r="AO88" s="15" t="s">
        <v>3</v>
      </c>
      <c r="AP88" s="27" t="s">
        <v>63</v>
      </c>
    </row>
    <row r="89" spans="1:42" x14ac:dyDescent="0.3">
      <c r="A89" s="15"/>
      <c r="B89" s="15" t="s">
        <v>4</v>
      </c>
      <c r="C89" s="15" t="s">
        <v>5</v>
      </c>
      <c r="D89" s="15" t="s">
        <v>6</v>
      </c>
      <c r="E89" s="15" t="s">
        <v>7</v>
      </c>
      <c r="F89" s="15" t="s">
        <v>8</v>
      </c>
      <c r="G89" s="15" t="s">
        <v>9</v>
      </c>
      <c r="H89" s="15" t="s">
        <v>10</v>
      </c>
      <c r="I89" s="15" t="s">
        <v>11</v>
      </c>
      <c r="J89" s="15" t="s">
        <v>12</v>
      </c>
      <c r="K89" s="15" t="s">
        <v>13</v>
      </c>
      <c r="L89" s="15" t="s">
        <v>14</v>
      </c>
      <c r="M89" s="15" t="s">
        <v>15</v>
      </c>
      <c r="N89" s="27">
        <v>2018</v>
      </c>
      <c r="P89" s="15" t="s">
        <v>4</v>
      </c>
      <c r="Q89" s="15" t="s">
        <v>5</v>
      </c>
      <c r="R89" s="15" t="s">
        <v>6</v>
      </c>
      <c r="S89" s="15" t="s">
        <v>7</v>
      </c>
      <c r="T89" s="15" t="s">
        <v>8</v>
      </c>
      <c r="U89" s="15" t="s">
        <v>9</v>
      </c>
      <c r="V89" s="15" t="s">
        <v>10</v>
      </c>
      <c r="W89" s="15" t="s">
        <v>11</v>
      </c>
      <c r="X89" s="15" t="s">
        <v>12</v>
      </c>
      <c r="Y89" s="15" t="s">
        <v>13</v>
      </c>
      <c r="Z89" s="15" t="s">
        <v>14</v>
      </c>
      <c r="AA89" s="15" t="s">
        <v>15</v>
      </c>
      <c r="AB89" s="27">
        <v>2018</v>
      </c>
      <c r="AD89" s="15" t="s">
        <v>4</v>
      </c>
      <c r="AE89" s="15" t="s">
        <v>5</v>
      </c>
      <c r="AF89" s="15" t="s">
        <v>6</v>
      </c>
      <c r="AG89" s="15" t="s">
        <v>7</v>
      </c>
      <c r="AH89" s="15" t="s">
        <v>8</v>
      </c>
      <c r="AI89" s="15" t="s">
        <v>9</v>
      </c>
      <c r="AJ89" s="15" t="s">
        <v>10</v>
      </c>
      <c r="AK89" s="15" t="s">
        <v>11</v>
      </c>
      <c r="AL89" s="15" t="s">
        <v>12</v>
      </c>
      <c r="AM89" s="15" t="s">
        <v>13</v>
      </c>
      <c r="AN89" s="15" t="s">
        <v>14</v>
      </c>
      <c r="AO89" s="15" t="s">
        <v>15</v>
      </c>
      <c r="AP89" s="27">
        <v>2018</v>
      </c>
    </row>
    <row r="90" spans="1:42" x14ac:dyDescent="0.3">
      <c r="A90" s="33" t="s">
        <v>50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7"/>
      <c r="M90" s="17"/>
      <c r="N90" s="28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7"/>
      <c r="AA90" s="17"/>
      <c r="AB90" s="28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7"/>
      <c r="AO90" s="17"/>
      <c r="AP90" s="28"/>
    </row>
    <row r="91" spans="1:42" x14ac:dyDescent="0.3">
      <c r="A91" s="18" t="s">
        <v>36</v>
      </c>
      <c r="B91" s="19">
        <v>25000</v>
      </c>
      <c r="C91" s="19">
        <v>25000</v>
      </c>
      <c r="D91" s="19">
        <v>25000</v>
      </c>
      <c r="E91" s="19">
        <v>25000</v>
      </c>
      <c r="F91" s="19">
        <v>25000</v>
      </c>
      <c r="G91" s="19">
        <v>25000</v>
      </c>
      <c r="H91" s="19">
        <v>25000</v>
      </c>
      <c r="I91" s="19">
        <v>25000</v>
      </c>
      <c r="J91" s="19">
        <v>25000</v>
      </c>
      <c r="K91" s="19">
        <v>25000</v>
      </c>
      <c r="L91" s="15">
        <v>25000</v>
      </c>
      <c r="M91" s="15">
        <v>25000</v>
      </c>
      <c r="N91" s="27">
        <v>300000</v>
      </c>
      <c r="P91" s="19">
        <v>41500</v>
      </c>
      <c r="Q91" s="19">
        <v>41500</v>
      </c>
      <c r="R91" s="19">
        <v>41500</v>
      </c>
      <c r="S91" s="19">
        <v>41500</v>
      </c>
      <c r="T91" s="19">
        <v>42000</v>
      </c>
      <c r="U91" s="19">
        <v>42000</v>
      </c>
      <c r="V91" s="19">
        <v>41500</v>
      </c>
      <c r="W91" s="19">
        <v>41500</v>
      </c>
      <c r="X91" s="19">
        <v>41500</v>
      </c>
      <c r="Y91" s="19">
        <v>41500</v>
      </c>
      <c r="Z91" s="15">
        <v>42000</v>
      </c>
      <c r="AA91" s="15">
        <v>42000</v>
      </c>
      <c r="AB91" s="27">
        <v>500000</v>
      </c>
      <c r="AD91" s="19">
        <v>66500</v>
      </c>
      <c r="AE91" s="19">
        <v>66500</v>
      </c>
      <c r="AF91" s="19">
        <v>66500</v>
      </c>
      <c r="AG91" s="19">
        <v>66500</v>
      </c>
      <c r="AH91" s="19">
        <v>67000</v>
      </c>
      <c r="AI91" s="19">
        <v>67000</v>
      </c>
      <c r="AJ91" s="19">
        <v>66500</v>
      </c>
      <c r="AK91" s="19">
        <v>66500</v>
      </c>
      <c r="AL91" s="19">
        <v>66500</v>
      </c>
      <c r="AM91" s="19">
        <v>66500</v>
      </c>
      <c r="AN91" s="15">
        <v>67000</v>
      </c>
      <c r="AO91" s="15">
        <v>67000</v>
      </c>
      <c r="AP91" s="27">
        <v>800000</v>
      </c>
    </row>
    <row r="92" spans="1:42" x14ac:dyDescent="0.3">
      <c r="A92" s="18" t="s">
        <v>37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5"/>
      <c r="M92" s="15"/>
      <c r="N92" s="27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27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5"/>
      <c r="AO92" s="15"/>
      <c r="AP92" s="27"/>
    </row>
    <row r="93" spans="1:42" x14ac:dyDescent="0.3">
      <c r="A93" s="20" t="s">
        <v>38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5"/>
      <c r="M93" s="15"/>
      <c r="N93" s="27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27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5"/>
      <c r="AO93" s="15"/>
      <c r="AP93" s="27"/>
    </row>
    <row r="94" spans="1:42" x14ac:dyDescent="0.3">
      <c r="A94" s="19" t="s">
        <v>48</v>
      </c>
      <c r="B94" s="19">
        <v>25000</v>
      </c>
      <c r="C94" s="19">
        <v>25000</v>
      </c>
      <c r="D94" s="19">
        <v>25000</v>
      </c>
      <c r="E94" s="19">
        <v>25000</v>
      </c>
      <c r="F94" s="19">
        <v>25000</v>
      </c>
      <c r="G94" s="19">
        <v>25000</v>
      </c>
      <c r="H94" s="19">
        <v>25000</v>
      </c>
      <c r="I94" s="19">
        <v>25000</v>
      </c>
      <c r="J94" s="19">
        <v>25000</v>
      </c>
      <c r="K94" s="19">
        <v>25000</v>
      </c>
      <c r="L94" s="15">
        <v>25000</v>
      </c>
      <c r="M94" s="15">
        <v>25000</v>
      </c>
      <c r="N94" s="27">
        <f>SUM(B94:M94)</f>
        <v>300000</v>
      </c>
      <c r="P94" s="19">
        <v>41500</v>
      </c>
      <c r="Q94" s="19">
        <v>41500</v>
      </c>
      <c r="R94" s="19">
        <v>41500</v>
      </c>
      <c r="S94" s="19">
        <v>41500</v>
      </c>
      <c r="T94" s="19">
        <v>42000</v>
      </c>
      <c r="U94" s="19">
        <v>42000</v>
      </c>
      <c r="V94" s="19">
        <v>41500</v>
      </c>
      <c r="W94" s="19">
        <v>41500</v>
      </c>
      <c r="X94" s="19">
        <v>41500</v>
      </c>
      <c r="Y94" s="19">
        <v>41500</v>
      </c>
      <c r="Z94" s="15">
        <v>42000</v>
      </c>
      <c r="AA94" s="15">
        <v>42000</v>
      </c>
      <c r="AB94" s="27">
        <f>SUM(P94:AA94)</f>
        <v>500000</v>
      </c>
      <c r="AD94" s="19">
        <v>66500</v>
      </c>
      <c r="AE94" s="19">
        <v>66500</v>
      </c>
      <c r="AF94" s="19">
        <v>66500</v>
      </c>
      <c r="AG94" s="19">
        <v>66500</v>
      </c>
      <c r="AH94" s="19">
        <v>67000</v>
      </c>
      <c r="AI94" s="19">
        <v>67000</v>
      </c>
      <c r="AJ94" s="19">
        <v>66500</v>
      </c>
      <c r="AK94" s="19">
        <v>66500</v>
      </c>
      <c r="AL94" s="19">
        <v>66500</v>
      </c>
      <c r="AM94" s="19">
        <v>66500</v>
      </c>
      <c r="AN94" s="15">
        <v>67000</v>
      </c>
      <c r="AO94" s="15">
        <v>67000</v>
      </c>
      <c r="AP94" s="27">
        <f>SUM(AD94:AO94)</f>
        <v>800000</v>
      </c>
    </row>
    <row r="95" spans="1:42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5"/>
      <c r="M95" s="15"/>
      <c r="N95" s="27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27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5"/>
      <c r="AO95" s="15"/>
      <c r="AP95" s="27"/>
    </row>
    <row r="96" spans="1:42" x14ac:dyDescent="0.3">
      <c r="A96" s="19" t="s">
        <v>39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5"/>
      <c r="M96" s="15"/>
      <c r="N96" s="27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27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5"/>
      <c r="AO96" s="15"/>
      <c r="AP96" s="27"/>
    </row>
    <row r="97" spans="1:42" x14ac:dyDescent="0.3">
      <c r="A97" s="18" t="s">
        <v>66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5"/>
      <c r="M97" s="15"/>
      <c r="N97" s="27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27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5"/>
      <c r="AO97" s="15"/>
      <c r="AP97" s="27"/>
    </row>
    <row r="98" spans="1:42" x14ac:dyDescent="0.3">
      <c r="A98" s="18" t="s">
        <v>40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27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27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27"/>
    </row>
    <row r="99" spans="1:42" x14ac:dyDescent="0.3">
      <c r="A99" s="21" t="s">
        <v>65</v>
      </c>
      <c r="B99" s="19">
        <v>250000</v>
      </c>
      <c r="C99" s="19"/>
      <c r="D99" s="19"/>
      <c r="E99" s="19"/>
      <c r="F99" s="19"/>
      <c r="G99" s="19"/>
      <c r="H99" s="19"/>
      <c r="I99" s="19"/>
      <c r="J99" s="19"/>
      <c r="K99" s="19"/>
      <c r="L99" s="15"/>
      <c r="M99" s="15"/>
      <c r="N99" s="27"/>
      <c r="P99" s="19">
        <v>10000</v>
      </c>
      <c r="Q99" s="19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27"/>
      <c r="AD99" s="19">
        <v>10000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5"/>
      <c r="AO99" s="15"/>
      <c r="AP99" s="27"/>
    </row>
    <row r="100" spans="1:42" x14ac:dyDescent="0.3">
      <c r="A100" s="19" t="s">
        <v>48</v>
      </c>
      <c r="B100" s="19">
        <v>250000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5"/>
      <c r="M100" s="15"/>
      <c r="N100" s="27">
        <f>SUM(B100:M100)</f>
        <v>250000</v>
      </c>
      <c r="P100" s="19">
        <v>10000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27">
        <f>SUM(P100:AA100)</f>
        <v>10000</v>
      </c>
      <c r="AD100" s="19">
        <v>10000</v>
      </c>
      <c r="AE100" s="19"/>
      <c r="AF100" s="19"/>
      <c r="AG100" s="19"/>
      <c r="AH100" s="19"/>
      <c r="AI100" s="19"/>
      <c r="AJ100" s="19"/>
      <c r="AK100" s="19"/>
      <c r="AL100" s="19"/>
      <c r="AM100" s="19"/>
      <c r="AN100" s="15"/>
      <c r="AO100" s="15"/>
      <c r="AP100" s="27">
        <f>SUM(AD100:AO100)</f>
        <v>10000</v>
      </c>
    </row>
    <row r="101" spans="1:42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5"/>
      <c r="M101" s="15"/>
      <c r="N101" s="27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27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5"/>
      <c r="AO101" s="15"/>
      <c r="AP101" s="27"/>
    </row>
    <row r="102" spans="1:42" x14ac:dyDescent="0.3">
      <c r="A102" s="19" t="s">
        <v>2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5"/>
      <c r="M102" s="15"/>
      <c r="N102" s="27">
        <f>SUM(B102:M102)</f>
        <v>0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27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5"/>
      <c r="AO102" s="15"/>
      <c r="AP102" s="27"/>
    </row>
    <row r="103" spans="1:42" x14ac:dyDescent="0.3">
      <c r="A103" s="19" t="s">
        <v>60</v>
      </c>
      <c r="B103" s="19">
        <f>B94-B100</f>
        <v>-225000</v>
      </c>
      <c r="C103" s="19">
        <f t="shared" ref="C103:M103" si="32">C94-C100</f>
        <v>25000</v>
      </c>
      <c r="D103" s="19">
        <f t="shared" si="32"/>
        <v>25000</v>
      </c>
      <c r="E103" s="19">
        <f t="shared" si="32"/>
        <v>25000</v>
      </c>
      <c r="F103" s="19">
        <f t="shared" si="32"/>
        <v>25000</v>
      </c>
      <c r="G103" s="19">
        <f t="shared" si="32"/>
        <v>25000</v>
      </c>
      <c r="H103" s="19">
        <f t="shared" si="32"/>
        <v>25000</v>
      </c>
      <c r="I103" s="19">
        <f t="shared" si="32"/>
        <v>25000</v>
      </c>
      <c r="J103" s="19">
        <f t="shared" si="32"/>
        <v>25000</v>
      </c>
      <c r="K103" s="19">
        <f t="shared" si="32"/>
        <v>25000</v>
      </c>
      <c r="L103" s="19">
        <f t="shared" si="32"/>
        <v>25000</v>
      </c>
      <c r="M103" s="19">
        <f t="shared" si="32"/>
        <v>25000</v>
      </c>
      <c r="N103" s="29">
        <f>N94-N100</f>
        <v>50000</v>
      </c>
      <c r="P103" s="19">
        <f>P94-P100</f>
        <v>31500</v>
      </c>
      <c r="Q103" s="19">
        <f t="shared" ref="Q103:AB103" si="33">Q94-Q100</f>
        <v>41500</v>
      </c>
      <c r="R103" s="19">
        <f t="shared" si="33"/>
        <v>41500</v>
      </c>
      <c r="S103" s="19">
        <f t="shared" si="33"/>
        <v>41500</v>
      </c>
      <c r="T103" s="19">
        <f t="shared" si="33"/>
        <v>42000</v>
      </c>
      <c r="U103" s="19">
        <f t="shared" si="33"/>
        <v>42000</v>
      </c>
      <c r="V103" s="19">
        <f t="shared" si="33"/>
        <v>41500</v>
      </c>
      <c r="W103" s="19">
        <f t="shared" si="33"/>
        <v>41500</v>
      </c>
      <c r="X103" s="19">
        <f t="shared" si="33"/>
        <v>41500</v>
      </c>
      <c r="Y103" s="19">
        <f t="shared" si="33"/>
        <v>41500</v>
      </c>
      <c r="Z103" s="19">
        <f t="shared" si="33"/>
        <v>42000</v>
      </c>
      <c r="AA103" s="19">
        <f t="shared" si="33"/>
        <v>42000</v>
      </c>
      <c r="AB103" s="29">
        <f t="shared" si="33"/>
        <v>490000</v>
      </c>
      <c r="AD103" s="19">
        <f>AD94-AD100</f>
        <v>56500</v>
      </c>
      <c r="AE103" s="19">
        <f t="shared" ref="AE103:AP103" si="34">AE94-AE100</f>
        <v>66500</v>
      </c>
      <c r="AF103" s="19">
        <f t="shared" si="34"/>
        <v>66500</v>
      </c>
      <c r="AG103" s="19">
        <f t="shared" si="34"/>
        <v>66500</v>
      </c>
      <c r="AH103" s="19">
        <f t="shared" si="34"/>
        <v>67000</v>
      </c>
      <c r="AI103" s="19">
        <f t="shared" si="34"/>
        <v>67000</v>
      </c>
      <c r="AJ103" s="19">
        <f t="shared" si="34"/>
        <v>66500</v>
      </c>
      <c r="AK103" s="19">
        <f t="shared" si="34"/>
        <v>66500</v>
      </c>
      <c r="AL103" s="19">
        <f t="shared" si="34"/>
        <v>66500</v>
      </c>
      <c r="AM103" s="19">
        <f t="shared" si="34"/>
        <v>66500</v>
      </c>
      <c r="AN103" s="19">
        <f t="shared" si="34"/>
        <v>67000</v>
      </c>
      <c r="AO103" s="19">
        <f t="shared" si="34"/>
        <v>67000</v>
      </c>
      <c r="AP103" s="29">
        <f t="shared" si="34"/>
        <v>790000</v>
      </c>
    </row>
    <row r="104" spans="1:42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5"/>
      <c r="M104" s="15"/>
      <c r="N104" s="27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27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5"/>
      <c r="AO104" s="15"/>
      <c r="AP104" s="27"/>
    </row>
    <row r="105" spans="1:42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5"/>
      <c r="M105" s="15"/>
      <c r="N105" s="27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27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5"/>
      <c r="AO105" s="15"/>
      <c r="AP105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4" zoomScale="160" zoomScaleNormal="160" workbookViewId="0">
      <selection activeCell="B12" sqref="B12"/>
    </sheetView>
  </sheetViews>
  <sheetFormatPr defaultRowHeight="14.4" x14ac:dyDescent="0.3"/>
  <cols>
    <col min="1" max="1" width="31.88671875" customWidth="1"/>
    <col min="2" max="2" width="16.109375" customWidth="1"/>
    <col min="3" max="3" width="18" customWidth="1"/>
    <col min="4" max="4" width="14.44140625" customWidth="1"/>
    <col min="5" max="5" width="16.109375" customWidth="1"/>
  </cols>
  <sheetData>
    <row r="1" spans="1:5" x14ac:dyDescent="0.3">
      <c r="B1" s="36" t="s">
        <v>67</v>
      </c>
      <c r="C1" s="36" t="s">
        <v>68</v>
      </c>
      <c r="D1" s="36" t="s">
        <v>69</v>
      </c>
      <c r="E1" s="36" t="s">
        <v>72</v>
      </c>
    </row>
    <row r="2" spans="1:5" x14ac:dyDescent="0.3">
      <c r="A2" s="34" t="s">
        <v>70</v>
      </c>
    </row>
    <row r="3" spans="1:5" x14ac:dyDescent="0.3">
      <c r="A3" t="s">
        <v>77</v>
      </c>
      <c r="B3" s="39">
        <v>400000</v>
      </c>
      <c r="C3" s="39">
        <f>700000</f>
        <v>700000</v>
      </c>
      <c r="D3" s="39">
        <v>1100000</v>
      </c>
      <c r="E3" s="39">
        <f>SUM(B3:D3)</f>
        <v>2200000</v>
      </c>
    </row>
    <row r="4" spans="1:5" x14ac:dyDescent="0.3">
      <c r="A4" t="s">
        <v>78</v>
      </c>
      <c r="B4" s="39">
        <f>10*10000</f>
        <v>100000</v>
      </c>
      <c r="C4" s="39">
        <f>200000</f>
        <v>200000</v>
      </c>
      <c r="D4" s="39">
        <v>300000</v>
      </c>
      <c r="E4" s="39">
        <f t="shared" ref="E4:E5" si="0">SUM(B4:D4)</f>
        <v>600000</v>
      </c>
    </row>
    <row r="5" spans="1:5" x14ac:dyDescent="0.3">
      <c r="A5" s="37" t="s">
        <v>75</v>
      </c>
      <c r="B5" s="40">
        <f>B3-B4</f>
        <v>300000</v>
      </c>
      <c r="C5" s="40">
        <f t="shared" ref="C5:D5" si="1">C3-C4</f>
        <v>500000</v>
      </c>
      <c r="D5" s="40">
        <f t="shared" si="1"/>
        <v>800000</v>
      </c>
      <c r="E5" s="40">
        <f t="shared" si="0"/>
        <v>1600000</v>
      </c>
    </row>
    <row r="7" spans="1:5" x14ac:dyDescent="0.3">
      <c r="A7" s="35" t="s">
        <v>74</v>
      </c>
    </row>
    <row r="8" spans="1:5" x14ac:dyDescent="0.3">
      <c r="A8" t="s">
        <v>79</v>
      </c>
      <c r="B8" s="39">
        <f>5000</f>
        <v>5000</v>
      </c>
      <c r="C8" s="39">
        <f>5000</f>
        <v>5000</v>
      </c>
      <c r="D8" s="39">
        <f>5000</f>
        <v>5000</v>
      </c>
      <c r="E8" s="39">
        <f>SUM(B8:D8)</f>
        <v>15000</v>
      </c>
    </row>
    <row r="9" spans="1:5" x14ac:dyDescent="0.3">
      <c r="A9" t="s">
        <v>81</v>
      </c>
      <c r="B9" s="39">
        <v>100000</v>
      </c>
      <c r="C9" s="39">
        <v>0</v>
      </c>
      <c r="D9" s="39">
        <v>0</v>
      </c>
      <c r="E9" s="39">
        <f t="shared" ref="E9:E11" si="2">SUM(B9:D9)</f>
        <v>100000</v>
      </c>
    </row>
    <row r="10" spans="1:5" x14ac:dyDescent="0.3">
      <c r="A10" t="s">
        <v>76</v>
      </c>
      <c r="B10" s="39">
        <f>15000*12</f>
        <v>180000</v>
      </c>
      <c r="C10" s="39">
        <f>15000*12</f>
        <v>180000</v>
      </c>
      <c r="D10" s="39">
        <f>15000*12</f>
        <v>180000</v>
      </c>
      <c r="E10" s="39">
        <f t="shared" si="2"/>
        <v>540000</v>
      </c>
    </row>
    <row r="11" spans="1:5" x14ac:dyDescent="0.3">
      <c r="A11" t="s">
        <v>19</v>
      </c>
      <c r="B11" s="39">
        <f>1500*12</f>
        <v>18000</v>
      </c>
      <c r="C11" s="39">
        <f>1500*12</f>
        <v>18000</v>
      </c>
      <c r="D11" s="39">
        <f>1500*12</f>
        <v>18000</v>
      </c>
      <c r="E11" s="39">
        <f t="shared" si="2"/>
        <v>54000</v>
      </c>
    </row>
    <row r="12" spans="1:5" x14ac:dyDescent="0.3">
      <c r="A12" t="s">
        <v>82</v>
      </c>
      <c r="B12" s="39">
        <f>4*459+398+1100+1700*4+200*4+150</f>
        <v>11084</v>
      </c>
      <c r="C12" s="39">
        <v>0</v>
      </c>
      <c r="D12" s="39">
        <v>0</v>
      </c>
      <c r="E12" s="39">
        <f>SUM(B12:D12)</f>
        <v>11084</v>
      </c>
    </row>
    <row r="13" spans="1:5" x14ac:dyDescent="0.3">
      <c r="A13" t="s">
        <v>80</v>
      </c>
      <c r="B13" s="39">
        <v>10000</v>
      </c>
      <c r="C13" s="39">
        <v>0</v>
      </c>
      <c r="D13" s="39">
        <v>0</v>
      </c>
      <c r="E13" s="39">
        <f>SUM(B13:D13)</f>
        <v>10000</v>
      </c>
    </row>
    <row r="14" spans="1:5" ht="15" thickBot="1" x14ac:dyDescent="0.35">
      <c r="A14" s="37" t="s">
        <v>73</v>
      </c>
      <c r="B14" s="40">
        <f>SUM(B8:B13)</f>
        <v>324084</v>
      </c>
      <c r="C14" s="40">
        <f>SUM(C8:C13)</f>
        <v>203000</v>
      </c>
      <c r="D14" s="40">
        <f>SUM(D8:D13)</f>
        <v>203000</v>
      </c>
      <c r="E14" s="40">
        <f>SUM(E8:E13)</f>
        <v>730084</v>
      </c>
    </row>
    <row r="15" spans="1:5" ht="15" thickBot="1" x14ac:dyDescent="0.35">
      <c r="A15" s="35" t="s">
        <v>71</v>
      </c>
      <c r="B15" s="38">
        <f>B5-B14</f>
        <v>-24084</v>
      </c>
      <c r="C15" s="38">
        <f>C5-C14</f>
        <v>297000</v>
      </c>
      <c r="D15" s="38">
        <f>D5-D14</f>
        <v>597000</v>
      </c>
      <c r="E15" s="41">
        <f>E5-E14</f>
        <v>869916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 financial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bryan</cp:lastModifiedBy>
  <dcterms:created xsi:type="dcterms:W3CDTF">2016-12-14T19:51:08Z</dcterms:created>
  <dcterms:modified xsi:type="dcterms:W3CDTF">2018-12-11T05:11:37Z</dcterms:modified>
</cp:coreProperties>
</file>